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HANTO\Downloads\SampleSuperstore.csv\"/>
    </mc:Choice>
  </mc:AlternateContent>
  <bookViews>
    <workbookView xWindow="0" yWindow="0" windowWidth="19200" windowHeight="6770" activeTab="7"/>
  </bookViews>
  <sheets>
    <sheet name="Customers" sheetId="3" r:id="rId1"/>
    <sheet name="Products" sheetId="4" r:id="rId2"/>
    <sheet name="Vendors" sheetId="5" r:id="rId3"/>
    <sheet name="Purchase" sheetId="7" r:id="rId4"/>
    <sheet name="Sales" sheetId="8" r:id="rId5"/>
    <sheet name="Inventory" sheetId="9" r:id="rId6"/>
    <sheet name="New Entry" sheetId="6" r:id="rId7"/>
    <sheet name="Dashboard" sheetId="10" r:id="rId8"/>
    <sheet name="Pivots" sheetId="2" r:id="rId9"/>
  </sheets>
  <definedNames>
    <definedName name="cid">Table2[Id]</definedName>
    <definedName name="HSN_No">Table5[HSN_No]</definedName>
  </definedNames>
  <calcPr calcId="162913"/>
  <pivotCaches>
    <pivotCache cacheId="1" r:id="rId10"/>
    <pivotCache cacheId="8" r:id="rId11"/>
    <pivotCache cacheId="11" r:id="rId12"/>
    <pivotCache cacheId="13" r:id="rId13"/>
    <pivotCache cacheId="16" r:id="rId14"/>
  </pivotCaches>
</workbook>
</file>

<file path=xl/calcChain.xml><?xml version="1.0" encoding="utf-8"?>
<calcChain xmlns="http://schemas.openxmlformats.org/spreadsheetml/2006/main">
  <c r="O22" i="10" l="1"/>
  <c r="J12" i="9"/>
  <c r="J13" i="9"/>
  <c r="J14" i="9"/>
  <c r="J15" i="9"/>
  <c r="J16" i="9"/>
  <c r="J17" i="9"/>
  <c r="J18" i="9"/>
  <c r="J19" i="9"/>
  <c r="K19" i="9" s="1"/>
  <c r="J20" i="9"/>
  <c r="K20" i="9" s="1"/>
  <c r="M20" i="9" s="1"/>
  <c r="J21" i="9"/>
  <c r="J22" i="9"/>
  <c r="K22" i="9" s="1"/>
  <c r="M22" i="9" s="1"/>
  <c r="J23" i="9"/>
  <c r="J24" i="9"/>
  <c r="J25" i="9"/>
  <c r="J26" i="9"/>
  <c r="J27" i="9"/>
  <c r="K27" i="9" s="1"/>
  <c r="M27" i="9" s="1"/>
  <c r="J28" i="9"/>
  <c r="K28" i="9" s="1"/>
  <c r="M28" i="9" s="1"/>
  <c r="J29" i="9"/>
  <c r="K29" i="9" s="1"/>
  <c r="M29" i="9" s="1"/>
  <c r="J30" i="9"/>
  <c r="K30" i="9" s="1"/>
  <c r="M30" i="9" s="1"/>
  <c r="K12" i="9"/>
  <c r="K13" i="9"/>
  <c r="K14" i="9"/>
  <c r="K15" i="9"/>
  <c r="K16" i="9"/>
  <c r="K17" i="9"/>
  <c r="M17" i="9" s="1"/>
  <c r="K18" i="9"/>
  <c r="K21" i="9"/>
  <c r="K23" i="9"/>
  <c r="K24" i="9"/>
  <c r="M24" i="9" s="1"/>
  <c r="K25" i="9"/>
  <c r="M25" i="9" s="1"/>
  <c r="K26" i="9"/>
  <c r="M26" i="9" s="1"/>
  <c r="M12" i="9"/>
  <c r="M13" i="9"/>
  <c r="M14" i="9"/>
  <c r="M21" i="9"/>
  <c r="M9" i="9"/>
  <c r="M10" i="9"/>
  <c r="M11" i="9"/>
  <c r="M15" i="9"/>
  <c r="M16" i="9"/>
  <c r="M18" i="9"/>
  <c r="M23" i="9"/>
  <c r="M8" i="9"/>
  <c r="J9" i="9"/>
  <c r="J10" i="9"/>
  <c r="J11" i="9"/>
  <c r="I9" i="9" l="1"/>
  <c r="I10" i="9"/>
  <c r="K10" i="9" s="1"/>
  <c r="O18" i="10" s="1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8" i="9"/>
  <c r="G21" i="9"/>
  <c r="G22" i="9"/>
  <c r="G23" i="9"/>
  <c r="G24" i="9"/>
  <c r="G25" i="9"/>
  <c r="G26" i="9"/>
  <c r="G27" i="9"/>
  <c r="G28" i="9"/>
  <c r="G29" i="9"/>
  <c r="G30" i="9"/>
  <c r="F9" i="9"/>
  <c r="G9" i="9"/>
  <c r="H9" i="9"/>
  <c r="F10" i="9"/>
  <c r="G10" i="9"/>
  <c r="H10" i="9"/>
  <c r="F11" i="9"/>
  <c r="G11" i="9"/>
  <c r="H11" i="9"/>
  <c r="F12" i="9"/>
  <c r="G12" i="9"/>
  <c r="H12" i="9"/>
  <c r="F13" i="9"/>
  <c r="G13" i="9"/>
  <c r="H13" i="9"/>
  <c r="F14" i="9"/>
  <c r="G14" i="9"/>
  <c r="H14" i="9"/>
  <c r="F15" i="9"/>
  <c r="G15" i="9"/>
  <c r="H15" i="9"/>
  <c r="F16" i="9"/>
  <c r="G16" i="9"/>
  <c r="H16" i="9"/>
  <c r="F17" i="9"/>
  <c r="G17" i="9"/>
  <c r="H17" i="9"/>
  <c r="F18" i="9"/>
  <c r="G18" i="9"/>
  <c r="H18" i="9"/>
  <c r="F19" i="9"/>
  <c r="G19" i="9"/>
  <c r="H19" i="9"/>
  <c r="F20" i="9"/>
  <c r="G20" i="9"/>
  <c r="H20" i="9"/>
  <c r="F21" i="9"/>
  <c r="H21" i="9"/>
  <c r="F22" i="9"/>
  <c r="H22" i="9"/>
  <c r="F23" i="9"/>
  <c r="H23" i="9"/>
  <c r="F24" i="9"/>
  <c r="H24" i="9"/>
  <c r="F25" i="9"/>
  <c r="H25" i="9"/>
  <c r="F26" i="9"/>
  <c r="H26" i="9"/>
  <c r="F27" i="9"/>
  <c r="H27" i="9"/>
  <c r="F28" i="9"/>
  <c r="H28" i="9"/>
  <c r="F29" i="9"/>
  <c r="H29" i="9"/>
  <c r="F30" i="9"/>
  <c r="H30" i="9"/>
  <c r="G8" i="9"/>
  <c r="H8" i="9"/>
  <c r="F8" i="9"/>
  <c r="M9" i="8"/>
  <c r="N9" i="8" s="1"/>
  <c r="M10" i="8"/>
  <c r="N10" i="8" s="1"/>
  <c r="M11" i="8"/>
  <c r="N11" i="8" s="1"/>
  <c r="M12" i="8"/>
  <c r="N12" i="8" s="1"/>
  <c r="M13" i="8"/>
  <c r="N13" i="8" s="1"/>
  <c r="M14" i="8"/>
  <c r="N14" i="8" s="1"/>
  <c r="M15" i="8"/>
  <c r="N15" i="8" s="1"/>
  <c r="M16" i="8"/>
  <c r="N16" i="8" s="1"/>
  <c r="M17" i="8"/>
  <c r="N17" i="8" s="1"/>
  <c r="M18" i="8"/>
  <c r="N18" i="8" s="1"/>
  <c r="M19" i="8"/>
  <c r="N19" i="8" s="1"/>
  <c r="M20" i="8"/>
  <c r="N20" i="8" s="1"/>
  <c r="M21" i="8"/>
  <c r="N21" i="8" s="1"/>
  <c r="M22" i="8"/>
  <c r="N22" i="8" s="1"/>
  <c r="M23" i="8"/>
  <c r="N23" i="8" s="1"/>
  <c r="M24" i="8"/>
  <c r="N24" i="8" s="1"/>
  <c r="M8" i="8"/>
  <c r="N8" i="8" s="1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8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8" i="8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16" i="7"/>
  <c r="L16" i="7" s="1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9" i="7"/>
  <c r="C15" i="2"/>
  <c r="C12" i="2"/>
  <c r="C8" i="2"/>
  <c r="C2" i="2"/>
  <c r="C5" i="2"/>
  <c r="C18" i="2" l="1"/>
  <c r="J8" i="9"/>
  <c r="K11" i="9"/>
  <c r="K9" i="9"/>
  <c r="K8" i="9"/>
  <c r="O23" i="10"/>
  <c r="K10" i="8"/>
  <c r="I10" i="4"/>
  <c r="I11" i="4"/>
  <c r="K9" i="7" s="1"/>
  <c r="L9" i="7" s="1"/>
  <c r="I12" i="4"/>
  <c r="K10" i="7" s="1"/>
  <c r="L10" i="7" s="1"/>
  <c r="I13" i="4"/>
  <c r="K13" i="7" s="1"/>
  <c r="L13" i="7" s="1"/>
  <c r="I14" i="4"/>
  <c r="I15" i="4"/>
  <c r="K14" i="7" s="1"/>
  <c r="L14" i="7" s="1"/>
  <c r="I16" i="4"/>
  <c r="K12" i="7" s="1"/>
  <c r="L12" i="7" s="1"/>
  <c r="I17" i="4"/>
  <c r="I18" i="4"/>
  <c r="I19" i="4"/>
  <c r="I20" i="4"/>
  <c r="I9" i="4"/>
  <c r="G9" i="8"/>
  <c r="M19" i="9" l="1"/>
  <c r="O27" i="10" s="1"/>
  <c r="L8" i="9"/>
  <c r="O16" i="10"/>
  <c r="K11" i="8"/>
  <c r="L9" i="9"/>
  <c r="O17" i="10"/>
  <c r="L18" i="9"/>
  <c r="O26" i="10"/>
  <c r="L24" i="9"/>
  <c r="L17" i="9"/>
  <c r="O25" i="10"/>
  <c r="L26" i="9"/>
  <c r="O28" i="10"/>
  <c r="O29" i="10"/>
  <c r="L29" i="9"/>
  <c r="L12" i="9"/>
  <c r="O20" i="10"/>
  <c r="L21" i="9"/>
  <c r="L13" i="9"/>
  <c r="O21" i="10"/>
  <c r="L22" i="9"/>
  <c r="L30" i="9"/>
  <c r="L25" i="9"/>
  <c r="L11" i="9"/>
  <c r="O19" i="10"/>
  <c r="L28" i="9"/>
  <c r="L27" i="9"/>
  <c r="L16" i="9"/>
  <c r="O24" i="10"/>
  <c r="L23" i="9"/>
  <c r="K19" i="8"/>
  <c r="L20" i="9"/>
  <c r="K22" i="8"/>
  <c r="K23" i="8"/>
  <c r="K17" i="8"/>
  <c r="K20" i="8"/>
  <c r="K24" i="8"/>
  <c r="K13" i="8"/>
  <c r="L19" i="9"/>
  <c r="K12" i="8"/>
  <c r="L15" i="9"/>
  <c r="K14" i="8"/>
  <c r="L10" i="9"/>
  <c r="K9" i="8"/>
  <c r="L14" i="9"/>
  <c r="K15" i="8"/>
  <c r="K8" i="8"/>
  <c r="K21" i="8"/>
  <c r="K18" i="8"/>
  <c r="K16" i="8"/>
  <c r="K15" i="7"/>
  <c r="L15" i="7" s="1"/>
  <c r="K11" i="7"/>
  <c r="L11" i="7" s="1"/>
</calcChain>
</file>

<file path=xl/sharedStrings.xml><?xml version="1.0" encoding="utf-8"?>
<sst xmlns="http://schemas.openxmlformats.org/spreadsheetml/2006/main" count="267" uniqueCount="134">
  <si>
    <t>Id</t>
  </si>
  <si>
    <t>Camila</t>
  </si>
  <si>
    <t>Alexander</t>
  </si>
  <si>
    <t>Liam</t>
  </si>
  <si>
    <t>Evelyn</t>
  </si>
  <si>
    <t>Michael</t>
  </si>
  <si>
    <t>Chloe</t>
  </si>
  <si>
    <t>Nicholas</t>
  </si>
  <si>
    <t>Olivia</t>
  </si>
  <si>
    <t>Aiden</t>
  </si>
  <si>
    <t>Harper</t>
  </si>
  <si>
    <t>Madison</t>
  </si>
  <si>
    <t>Carter</t>
  </si>
  <si>
    <t>Mia</t>
  </si>
  <si>
    <t>Lucas</t>
  </si>
  <si>
    <t>Abigail</t>
  </si>
  <si>
    <t>Joseph</t>
  </si>
  <si>
    <t>William</t>
  </si>
  <si>
    <t>Andrew</t>
  </si>
  <si>
    <t>Sophia</t>
  </si>
  <si>
    <t>Avery</t>
  </si>
  <si>
    <t>Lily</t>
  </si>
  <si>
    <t>Name</t>
  </si>
  <si>
    <t>Email</t>
  </si>
  <si>
    <t>Address</t>
  </si>
  <si>
    <t>camila@Gmail.com</t>
  </si>
  <si>
    <t>alexander@Gmail.com</t>
  </si>
  <si>
    <t>liam@Gmail.com</t>
  </si>
  <si>
    <t>evelyn@Gmail.com</t>
  </si>
  <si>
    <t>michael@Gmail.com</t>
  </si>
  <si>
    <t>chloe@Gmail.com</t>
  </si>
  <si>
    <t>nicholas@Gmail.com</t>
  </si>
  <si>
    <t>olivia@Gmail.com</t>
  </si>
  <si>
    <t>aiden@Gmail.com</t>
  </si>
  <si>
    <t>harper@Gmail.com</t>
  </si>
  <si>
    <t>madison@Gmail.com</t>
  </si>
  <si>
    <t>carter@Gmail.com</t>
  </si>
  <si>
    <t>mia@Gmail.com</t>
  </si>
  <si>
    <t>lucas@Gmail.com</t>
  </si>
  <si>
    <t>abigail@Gmail.com</t>
  </si>
  <si>
    <t>joseph@Gmail.com</t>
  </si>
  <si>
    <t>william@Gmail.com</t>
  </si>
  <si>
    <t>andrew@Gmail.com</t>
  </si>
  <si>
    <t>sophia@Gmail.com</t>
  </si>
  <si>
    <t>avery@Gmail.com</t>
  </si>
  <si>
    <t>lily@Gmail.com</t>
  </si>
  <si>
    <t>Price</t>
  </si>
  <si>
    <t>Mumbai</t>
  </si>
  <si>
    <t>Kolkata</t>
  </si>
  <si>
    <t>Delhi</t>
  </si>
  <si>
    <t>Bangalore</t>
  </si>
  <si>
    <t>Chennai</t>
  </si>
  <si>
    <t>City</t>
  </si>
  <si>
    <t>State</t>
  </si>
  <si>
    <t>Region</t>
  </si>
  <si>
    <t>Sales</t>
  </si>
  <si>
    <t>Profit</t>
  </si>
  <si>
    <t>Henderson</t>
  </si>
  <si>
    <t>Kentucky</t>
  </si>
  <si>
    <t>South</t>
  </si>
  <si>
    <t>Bookcases</t>
  </si>
  <si>
    <t>Chairs</t>
  </si>
  <si>
    <t>Los Angeles</t>
  </si>
  <si>
    <t>California</t>
  </si>
  <si>
    <t>West</t>
  </si>
  <si>
    <t>Labels</t>
  </si>
  <si>
    <t>Fort Lauderdale</t>
  </si>
  <si>
    <t>Florida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</si>
  <si>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</si>
  <si>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</si>
  <si>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</si>
  <si>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</si>
  <si>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</si>
  <si>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</si>
  <si>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</si>
  <si>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</si>
  <si>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</si>
  <si>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</si>
  <si>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</si>
  <si>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</si>
  <si>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</si>
  <si>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</si>
  <si>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</si>
  <si>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</si>
  <si>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</si>
  <si>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</si>
  <si>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</si>
  <si>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</si>
  <si>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Products Name</t>
  </si>
  <si>
    <t>Vendors Name</t>
  </si>
  <si>
    <t>HSN No</t>
  </si>
  <si>
    <t xml:space="preserve">HSN No </t>
  </si>
  <si>
    <t xml:space="preserve">Vender </t>
  </si>
  <si>
    <t>Date</t>
  </si>
  <si>
    <t>Cost</t>
  </si>
  <si>
    <t>Amount</t>
  </si>
  <si>
    <t>Units</t>
  </si>
  <si>
    <t>HSN_No</t>
  </si>
  <si>
    <t xml:space="preserve">Cost </t>
  </si>
  <si>
    <t>Customer Id</t>
  </si>
  <si>
    <t>Customer Name</t>
  </si>
  <si>
    <t>Product Name</t>
  </si>
  <si>
    <t>Stock(Unit)</t>
  </si>
  <si>
    <t>P Units</t>
  </si>
  <si>
    <t>Stock</t>
  </si>
  <si>
    <t>Stock Amt</t>
  </si>
  <si>
    <t>S Units</t>
  </si>
  <si>
    <t>Count of Name</t>
  </si>
  <si>
    <t>Total Customer</t>
  </si>
  <si>
    <t>Count of Prsducts Name</t>
  </si>
  <si>
    <t>Total Products</t>
  </si>
  <si>
    <t>Sum of Amount</t>
  </si>
  <si>
    <t>Purchase Amount</t>
  </si>
  <si>
    <t>Sales Amt</t>
  </si>
  <si>
    <t>Sum of Stock Amt</t>
  </si>
  <si>
    <t>p/s</t>
  </si>
  <si>
    <t>Row Labels</t>
  </si>
  <si>
    <t>Grand Total</t>
  </si>
  <si>
    <t>Sum of S Units</t>
  </si>
  <si>
    <t>Phone Number</t>
  </si>
  <si>
    <t>016#######</t>
  </si>
  <si>
    <t>017#######</t>
  </si>
  <si>
    <t>018#######</t>
  </si>
  <si>
    <t>019#######</t>
  </si>
  <si>
    <t>011#######</t>
  </si>
  <si>
    <t>012#######</t>
  </si>
  <si>
    <t>013#######</t>
  </si>
  <si>
    <t>014#######</t>
  </si>
  <si>
    <t>015#######</t>
  </si>
  <si>
    <t>0133######</t>
  </si>
  <si>
    <t>0158######</t>
  </si>
  <si>
    <t>0177######</t>
  </si>
  <si>
    <t>Notification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</si>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</sst>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5" formatCode="&quot;$&quot;\ #,##0.0,&quot;K&quot;"/>
    <numFmt numFmtId="166" formatCode="&quot;$&quot;#,##0.0,&quot;K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33" borderId="0" xfId="0" applyFill="1"/>
    <xf numFmtId="0" fontId="0" fillId="33" borderId="0" xfId="0" applyFill="1" applyAlignment="1">
      <alignment horizontal="center" vertical="center"/>
    </xf>
    <xf numFmtId="14" fontId="0" fillId="33" borderId="0" xfId="0" applyNumberFormat="1" applyFill="1"/>
    <xf numFmtId="0" fontId="0" fillId="34" borderId="0" xfId="0" applyFill="1"/>
    <xf numFmtId="0" fontId="18" fillId="34" borderId="0" xfId="0" applyFont="1" applyFill="1"/>
    <xf numFmtId="0" fontId="19" fillId="34" borderId="0" xfId="0" applyFont="1" applyFill="1"/>
    <xf numFmtId="0" fontId="0" fillId="33" borderId="0" xfId="0" applyFill="1" applyBorder="1"/>
    <xf numFmtId="0" fontId="0" fillId="33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>
      <alignment horizontal="left" vertical="center"/>
    </xf>
    <xf numFmtId="0" fontId="0" fillId="34" borderId="10" xfId="0" applyFill="1" applyBorder="1"/>
    <xf numFmtId="0" fontId="0" fillId="34" borderId="0" xfId="0" applyNumberFormat="1" applyFill="1"/>
    <xf numFmtId="0" fontId="0" fillId="34" borderId="0" xfId="0" applyFill="1" applyAlignment="1">
      <alignment horizontal="left"/>
    </xf>
    <xf numFmtId="0" fontId="0" fillId="34" borderId="0" xfId="0" applyFill="1" applyBorder="1"/>
    <xf numFmtId="44" fontId="0" fillId="34" borderId="10" xfId="42" applyFont="1" applyFill="1" applyBorder="1"/>
    <xf numFmtId="165" fontId="0" fillId="34" borderId="10" xfId="42" applyNumberFormat="1" applyFont="1" applyFill="1" applyBorder="1"/>
    <xf numFmtId="44" fontId="0" fillId="34" borderId="0" xfId="42" applyFont="1" applyFill="1" applyBorder="1"/>
    <xf numFmtId="166" fontId="0" fillId="34" borderId="10" xfId="42" applyNumberFormat="1" applyFont="1" applyFill="1" applyBorder="1"/>
    <xf numFmtId="44" fontId="0" fillId="34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[Inventory management system.xlsx]Pivots!PivotTable7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Pivots!$E$2:$E$7</c:f>
              <c:strCache>
                <c:ptCount val="5"/>
                <c:pt idx="0">
                  <c:v>Art</c:v>
                </c:pt>
                <c:pt idx="1">
                  <c:v>Binders</c:v>
                </c:pt>
                <c:pt idx="2">
                  <c:v>Labels</c:v>
                </c:pt>
                <c:pt idx="3">
                  <c:v>Phones</c:v>
                </c:pt>
                <c:pt idx="4">
                  <c:v>Tables</c:v>
                </c:pt>
              </c:strCache>
            </c:strRef>
          </c:cat>
          <c:val>
            <c:numRef>
              <c:f>Pivots!$F$2:$F$7</c:f>
              <c:numCache>
                <c:formatCode>General</c:formatCode>
                <c:ptCount val="5"/>
                <c:pt idx="0">
                  <c:v>19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3-44D9-8B03-F65FEB7C0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53565824"/>
        <c:axId val="1853567904"/>
      </c:barChart>
      <c:catAx>
        <c:axId val="185356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67904"/>
        <c:crosses val="autoZero"/>
        <c:auto val="1"/>
        <c:lblAlgn val="ctr"/>
        <c:lblOffset val="100"/>
        <c:noMultiLvlLbl val="0"/>
      </c:catAx>
      <c:valAx>
        <c:axId val="185356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6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[Inventory management system.xlsx]Pivots!PivotTable9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Pivots!$E$11:$E$16</c:f>
              <c:strCache>
                <c:ptCount val="5"/>
                <c:pt idx="0">
                  <c:v>Alexander</c:v>
                </c:pt>
                <c:pt idx="1">
                  <c:v>Camila</c:v>
                </c:pt>
                <c:pt idx="2">
                  <c:v>Chloe</c:v>
                </c:pt>
                <c:pt idx="3">
                  <c:v>Harper</c:v>
                </c:pt>
                <c:pt idx="4">
                  <c:v>Michael</c:v>
                </c:pt>
              </c:strCache>
            </c:strRef>
          </c:cat>
          <c:val>
            <c:numRef>
              <c:f>Pivots!$F$11:$F$16</c:f>
              <c:numCache>
                <c:formatCode>General</c:formatCode>
                <c:ptCount val="5"/>
                <c:pt idx="0">
                  <c:v>3830.31</c:v>
                </c:pt>
                <c:pt idx="1">
                  <c:v>138.68</c:v>
                </c:pt>
                <c:pt idx="2">
                  <c:v>3733.056</c:v>
                </c:pt>
                <c:pt idx="3">
                  <c:v>2721.4560000000001</c:v>
                </c:pt>
                <c:pt idx="4">
                  <c:v>5745.4650000000001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7-488B-AF67-83113EE56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76551120"/>
        <c:axId val="1776553200"/>
      </c:barChart>
      <c:catAx>
        <c:axId val="177655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53200"/>
        <c:crosses val="autoZero"/>
        <c:auto val="1"/>
        <c:lblAlgn val="ctr"/>
        <c:lblOffset val="100"/>
        <c:noMultiLvlLbl val="0"/>
      </c:catAx>
      <c:valAx>
        <c:axId val="177655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5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[Inventory management system.xlsx]Pivots!PivotTable3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Pivots!$A$25:$A$36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Pivots!$B$25:$B$36</c:f>
              <c:numCache>
                <c:formatCode>General</c:formatCode>
                <c:ptCount val="11"/>
                <c:pt idx="0">
                  <c:v>23</c:v>
                </c:pt>
                <c:pt idx="1">
                  <c:v>4</c:v>
                </c:pt>
                <c:pt idx="2">
                  <c:v>83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17</c:v>
                </c:pt>
                <c:pt idx="7">
                  <c:v>23</c:v>
                </c:pt>
                <c:pt idx="8">
                  <c:v>20</c:v>
                </c:pt>
                <c:pt idx="9">
                  <c:v>23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7-4639-BC01-5B6CA0BE8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1756064"/>
        <c:axId val="1211761888"/>
      </c:barChart>
      <c:catAx>
        <c:axId val="121175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61888"/>
        <c:crosses val="autoZero"/>
        <c:auto val="1"/>
        <c:lblAlgn val="ctr"/>
        <c:lblOffset val="100"/>
        <c:noMultiLvlLbl val="0"/>
      </c:catAx>
      <c:valAx>
        <c:axId val="121176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56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Pivots!$E$2:$E$7</c:f>
              <c:strCache>
                <c:ptCount val="5"/>
                <c:pt idx="0">
                  <c:v>Art</c:v>
                </c:pt>
                <c:pt idx="1">
                  <c:v>Binders</c:v>
                </c:pt>
                <c:pt idx="2">
                  <c:v>Labels</c:v>
                </c:pt>
                <c:pt idx="3">
                  <c:v>Phones</c:v>
                </c:pt>
                <c:pt idx="4">
                  <c:v>Tables</c:v>
                </c:pt>
              </c:strCache>
            </c:strRef>
          </c:cat>
          <c:val>
            <c:numRef>
              <c:f>Pivots!$F$2:$F$7</c:f>
              <c:numCache>
                <c:formatCode>General</c:formatCode>
                <c:ptCount val="5"/>
                <c:pt idx="0">
                  <c:v>19</c:v>
                </c:pt>
                <c:pt idx="1">
                  <c:v>8</c:v>
                </c:pt>
                <c:pt idx="2">
                  <c:v>6</c:v>
                </c:pt>
                <c:pt idx="3">
                  <c:v>3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3-40B7-810B-6D70E97D9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3565824"/>
        <c:axId val="1853567904"/>
      </c:barChart>
      <c:catAx>
        <c:axId val="1853565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67904"/>
        <c:crosses val="autoZero"/>
        <c:auto val="1"/>
        <c:lblAlgn val="ctr"/>
        <c:lblOffset val="100"/>
        <c:noMultiLvlLbl val="0"/>
      </c:catAx>
      <c:valAx>
        <c:axId val="185356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56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Pivots!$E$11:$E$16</c:f>
              <c:strCache>
                <c:ptCount val="5"/>
                <c:pt idx="0">
                  <c:v>Alexander</c:v>
                </c:pt>
                <c:pt idx="1">
                  <c:v>Camila</c:v>
                </c:pt>
                <c:pt idx="2">
                  <c:v>Chloe</c:v>
                </c:pt>
                <c:pt idx="3">
                  <c:v>Harper</c:v>
                </c:pt>
                <c:pt idx="4">
                  <c:v>Michael</c:v>
                </c:pt>
              </c:strCache>
            </c:strRef>
          </c:cat>
          <c:val>
            <c:numRef>
              <c:f>Pivots!$F$11:$F$16</c:f>
              <c:numCache>
                <c:formatCode>General</c:formatCode>
                <c:ptCount val="5"/>
                <c:pt idx="0">
                  <c:v>3830.31</c:v>
                </c:pt>
                <c:pt idx="1">
                  <c:v>138.68</c:v>
                </c:pt>
                <c:pt idx="2">
                  <c:v>3733.056</c:v>
                </c:pt>
                <c:pt idx="3">
                  <c:v>2721.4560000000001</c:v>
                </c:pt>
                <c:pt idx="4">
                  <c:v>5745.4650000000001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9-4CEA-9785-DC9CF164D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6551120"/>
        <c:axId val="1776553200"/>
      </c:barChart>
      <c:catAx>
        <c:axId val="177655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53200"/>
        <c:crosses val="autoZero"/>
        <c:auto val="1"/>
        <c:lblAlgn val="ctr"/>
        <c:lblOffset val="100"/>
        <c:noMultiLvlLbl val="0"/>
      </c:catAx>
      <c:valAx>
        <c:axId val="17765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55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Pivots!$A$25:$A$36</c:f>
              <c:strCache>
                <c:ptCount val="11"/>
                <c:pt idx="0">
                  <c:v>Appliances</c:v>
                </c:pt>
                <c:pt idx="1">
                  <c:v>Art</c:v>
                </c:pt>
                <c:pt idx="2">
                  <c:v>Binders</c:v>
                </c:pt>
                <c:pt idx="3">
                  <c:v>Bookcases</c:v>
                </c:pt>
                <c:pt idx="4">
                  <c:v>Chairs</c:v>
                </c:pt>
                <c:pt idx="5">
                  <c:v>Furnishings</c:v>
                </c:pt>
                <c:pt idx="6">
                  <c:v>Labels</c:v>
                </c:pt>
                <c:pt idx="7">
                  <c:v>Paper</c:v>
                </c:pt>
                <c:pt idx="8">
                  <c:v>Phones</c:v>
                </c:pt>
                <c:pt idx="9">
                  <c:v>Storage</c:v>
                </c:pt>
                <c:pt idx="10">
                  <c:v>Tables</c:v>
                </c:pt>
              </c:strCache>
            </c:strRef>
          </c:cat>
          <c:val>
            <c:numRef>
              <c:f>Pivots!$B$25:$B$36</c:f>
              <c:numCache>
                <c:formatCode>General</c:formatCode>
                <c:ptCount val="11"/>
                <c:pt idx="0">
                  <c:v>23</c:v>
                </c:pt>
                <c:pt idx="1">
                  <c:v>4</c:v>
                </c:pt>
                <c:pt idx="2">
                  <c:v>83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17</c:v>
                </c:pt>
                <c:pt idx="7">
                  <c:v>23</c:v>
                </c:pt>
                <c:pt idx="8">
                  <c:v>20</c:v>
                </c:pt>
                <c:pt idx="9">
                  <c:v>23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7-43FE-BC3E-8DFBB9EEC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756064"/>
        <c:axId val="1211761888"/>
      </c:barChart>
      <c:catAx>
        <c:axId val="121175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61888"/>
        <c:crosses val="autoZero"/>
        <c:auto val="1"/>
        <c:lblAlgn val="ctr"/>
        <c:lblOffset val="100"/>
        <c:noMultiLvlLbl val="0"/>
      </c:catAx>
      <c:valAx>
        <c:axId val="121176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56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18" Type="http://schemas.openxmlformats.org/officeDocument/2006/relationships/hyperlink" Target="#Customers!A1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Dashboard!A1"/><Relationship Id="rId2" Type="http://schemas.openxmlformats.org/officeDocument/2006/relationships/image" Target="../media/image2.png"/><Relationship Id="rId16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5.png"/><Relationship Id="rId15" Type="http://schemas.openxmlformats.org/officeDocument/2006/relationships/image" Target="../media/image9.png"/><Relationship Id="rId10" Type="http://schemas.openxmlformats.org/officeDocument/2006/relationships/hyperlink" Target="#Purchase!A1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Customers!A1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10" Type="http://schemas.openxmlformats.org/officeDocument/2006/relationships/hyperlink" Target="#Purchase!A1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Customers!A1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10" Type="http://schemas.openxmlformats.org/officeDocument/2006/relationships/hyperlink" Target="#Purchase!A1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Customers!A1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10" Type="http://schemas.openxmlformats.org/officeDocument/2006/relationships/hyperlink" Target="#Purchase!A1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Customers!A1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10" Type="http://schemas.openxmlformats.org/officeDocument/2006/relationships/hyperlink" Target="#Purchase!A1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Customers!A1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10" Type="http://schemas.openxmlformats.org/officeDocument/2006/relationships/hyperlink" Target="#Purchase!A1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Customers!A1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10" Type="http://schemas.openxmlformats.org/officeDocument/2006/relationships/hyperlink" Target="#Purchase!A1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Vendors!A1"/><Relationship Id="rId13" Type="http://schemas.openxmlformats.org/officeDocument/2006/relationships/image" Target="../media/image7.png"/><Relationship Id="rId1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hyperlink" Target="#Products!A1"/><Relationship Id="rId12" Type="http://schemas.openxmlformats.org/officeDocument/2006/relationships/hyperlink" Target="#Inventory!A1"/><Relationship Id="rId17" Type="http://schemas.openxmlformats.org/officeDocument/2006/relationships/hyperlink" Target="#Customers!A1"/><Relationship Id="rId2" Type="http://schemas.openxmlformats.org/officeDocument/2006/relationships/image" Target="../media/image2.png"/><Relationship Id="rId16" Type="http://schemas.openxmlformats.org/officeDocument/2006/relationships/hyperlink" Target="#Dashboard!A1"/><Relationship Id="rId20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hyperlink" Target="#Sales!A1"/><Relationship Id="rId5" Type="http://schemas.openxmlformats.org/officeDocument/2006/relationships/image" Target="../media/image10.png"/><Relationship Id="rId15" Type="http://schemas.openxmlformats.org/officeDocument/2006/relationships/image" Target="../media/image11.png"/><Relationship Id="rId10" Type="http://schemas.openxmlformats.org/officeDocument/2006/relationships/hyperlink" Target="#Purchase!A1"/><Relationship Id="rId19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hyperlink" Target="#'New Entry'!A1"/><Relationship Id="rId1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2</xdr:row>
      <xdr:rowOff>0</xdr:rowOff>
    </xdr:from>
    <xdr:to>
      <xdr:col>4</xdr:col>
      <xdr:colOff>31750</xdr:colOff>
      <xdr:row>29</xdr:row>
      <xdr:rowOff>133350</xdr:rowOff>
    </xdr:to>
    <xdr:sp macro="" textlink="">
      <xdr:nvSpPr>
        <xdr:cNvPr id="2" name="Rectangle 1"/>
        <xdr:cNvSpPr/>
      </xdr:nvSpPr>
      <xdr:spPr>
        <a:xfrm>
          <a:off x="349250" y="368300"/>
          <a:ext cx="1854200" cy="5105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17</xdr:row>
      <xdr:rowOff>10584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94616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21</xdr:row>
      <xdr:rowOff>33868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23</xdr:row>
      <xdr:rowOff>2512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386948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1924050"/>
          <a:ext cx="365760" cy="365760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9" name="TextBox 8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0" name="TextBox 9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1" name="TextBox 10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2" name="TextBox 11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3" name="Rectangle 12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4" name="Rectangle 13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15" name="Rectangle 14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16" name="Rectangle 15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17" name="Rectangle 16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18" name="Rectangle 17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19" name="Rectangle 18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0" name="Rectangle 19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162560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27</xdr:row>
      <xdr:rowOff>95444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73872</xdr:rowOff>
    </xdr:from>
    <xdr:to>
      <xdr:col>1</xdr:col>
      <xdr:colOff>520700</xdr:colOff>
      <xdr:row>14</xdr:row>
      <xdr:rowOff>71332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83672"/>
          <a:ext cx="365760" cy="36576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24" name="Rectangle 23">
          <a:hlinkClick xmlns:r="http://schemas.openxmlformats.org/officeDocument/2006/relationships" r:id="rId17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25" name="Rectangle 24">
          <a:hlinkClick xmlns:r="http://schemas.openxmlformats.org/officeDocument/2006/relationships" r:id="rId18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4</xdr:col>
      <xdr:colOff>190500</xdr:colOff>
      <xdr:row>2</xdr:row>
      <xdr:rowOff>0</xdr:rowOff>
    </xdr:from>
    <xdr:to>
      <xdr:col>9</xdr:col>
      <xdr:colOff>260350</xdr:colOff>
      <xdr:row>5</xdr:row>
      <xdr:rowOff>50800</xdr:rowOff>
    </xdr:to>
    <xdr:sp macro="" textlink="">
      <xdr:nvSpPr>
        <xdr:cNvPr id="26" name="Rectangle 25"/>
        <xdr:cNvSpPr/>
      </xdr:nvSpPr>
      <xdr:spPr>
        <a:xfrm>
          <a:off x="2362200" y="368300"/>
          <a:ext cx="5581650" cy="603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Customers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0</xdr:rowOff>
    </xdr:from>
    <xdr:to>
      <xdr:col>4</xdr:col>
      <xdr:colOff>31750</xdr:colOff>
      <xdr:row>29</xdr:row>
      <xdr:rowOff>133350</xdr:rowOff>
    </xdr:to>
    <xdr:sp macro="" textlink="">
      <xdr:nvSpPr>
        <xdr:cNvPr id="2" name="Rectangle 1"/>
        <xdr:cNvSpPr/>
      </xdr:nvSpPr>
      <xdr:spPr>
        <a:xfrm>
          <a:off x="349250" y="368300"/>
          <a:ext cx="1854200" cy="5105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17</xdr:row>
      <xdr:rowOff>10584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94616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21</xdr:row>
      <xdr:rowOff>33868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22</xdr:row>
      <xdr:rowOff>183940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386948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1924050"/>
          <a:ext cx="365760" cy="365760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9" name="TextBox 8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0" name="TextBox 9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1" name="TextBox 10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2" name="TextBox 11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3" name="Rectangle 12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4" name="Rectangle 13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15" name="Rectangle 14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16" name="Rectangle 15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17" name="Rectangle 16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18" name="Rectangle 17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19" name="Rectangle 18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0" name="Rectangle 19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162560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27</xdr:row>
      <xdr:rowOff>95444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67522</xdr:rowOff>
    </xdr:from>
    <xdr:to>
      <xdr:col>1</xdr:col>
      <xdr:colOff>520700</xdr:colOff>
      <xdr:row>14</xdr:row>
      <xdr:rowOff>64982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77322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24" name="Rectangle 23">
          <a:hlinkClick xmlns:r="http://schemas.openxmlformats.org/officeDocument/2006/relationships" r:id="rId16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25" name="Rectangle 24">
          <a:hlinkClick xmlns:r="http://schemas.openxmlformats.org/officeDocument/2006/relationships" r:id="rId17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4</xdr:col>
      <xdr:colOff>190500</xdr:colOff>
      <xdr:row>2</xdr:row>
      <xdr:rowOff>0</xdr:rowOff>
    </xdr:from>
    <xdr:to>
      <xdr:col>10</xdr:col>
      <xdr:colOff>527050</xdr:colOff>
      <xdr:row>5</xdr:row>
      <xdr:rowOff>50800</xdr:rowOff>
    </xdr:to>
    <xdr:sp macro="" textlink="">
      <xdr:nvSpPr>
        <xdr:cNvPr id="26" name="Rectangle 25"/>
        <xdr:cNvSpPr/>
      </xdr:nvSpPr>
      <xdr:spPr>
        <a:xfrm>
          <a:off x="2362200" y="368300"/>
          <a:ext cx="5314950" cy="603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Products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0</xdr:rowOff>
    </xdr:from>
    <xdr:to>
      <xdr:col>4</xdr:col>
      <xdr:colOff>31750</xdr:colOff>
      <xdr:row>29</xdr:row>
      <xdr:rowOff>133350</xdr:rowOff>
    </xdr:to>
    <xdr:sp macro="" textlink="">
      <xdr:nvSpPr>
        <xdr:cNvPr id="2" name="Rectangle 1"/>
        <xdr:cNvSpPr/>
      </xdr:nvSpPr>
      <xdr:spPr>
        <a:xfrm>
          <a:off x="349250" y="368300"/>
          <a:ext cx="1854200" cy="5105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17</xdr:row>
      <xdr:rowOff>10584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94616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21</xdr:row>
      <xdr:rowOff>33868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22</xdr:row>
      <xdr:rowOff>183940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386948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1924050"/>
          <a:ext cx="365760" cy="365760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9" name="TextBox 8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0" name="TextBox 9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1" name="TextBox 10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2" name="TextBox 11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3" name="Rectangle 12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4" name="Rectangle 13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15" name="Rectangle 14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16" name="Rectangle 15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17" name="Rectangle 16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18" name="Rectangle 17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19" name="Rectangle 18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0" name="Rectangle 19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162560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27</xdr:row>
      <xdr:rowOff>95444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67522</xdr:rowOff>
    </xdr:from>
    <xdr:to>
      <xdr:col>1</xdr:col>
      <xdr:colOff>520700</xdr:colOff>
      <xdr:row>14</xdr:row>
      <xdr:rowOff>64982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77322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24" name="Rectangle 23">
          <a:hlinkClick xmlns:r="http://schemas.openxmlformats.org/officeDocument/2006/relationships" r:id="rId16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25" name="Rectangle 24">
          <a:hlinkClick xmlns:r="http://schemas.openxmlformats.org/officeDocument/2006/relationships" r:id="rId17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4</xdr:col>
      <xdr:colOff>190501</xdr:colOff>
      <xdr:row>2</xdr:row>
      <xdr:rowOff>0</xdr:rowOff>
    </xdr:from>
    <xdr:to>
      <xdr:col>12</xdr:col>
      <xdr:colOff>19050</xdr:colOff>
      <xdr:row>5</xdr:row>
      <xdr:rowOff>50800</xdr:rowOff>
    </xdr:to>
    <xdr:sp macro="" textlink="">
      <xdr:nvSpPr>
        <xdr:cNvPr id="26" name="Rectangle 25"/>
        <xdr:cNvSpPr/>
      </xdr:nvSpPr>
      <xdr:spPr>
        <a:xfrm>
          <a:off x="2362201" y="368300"/>
          <a:ext cx="7492999" cy="603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Vendors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0</xdr:rowOff>
    </xdr:from>
    <xdr:to>
      <xdr:col>4</xdr:col>
      <xdr:colOff>31750</xdr:colOff>
      <xdr:row>29</xdr:row>
      <xdr:rowOff>133350</xdr:rowOff>
    </xdr:to>
    <xdr:sp macro="" textlink="">
      <xdr:nvSpPr>
        <xdr:cNvPr id="2" name="Rectangle 1"/>
        <xdr:cNvSpPr/>
      </xdr:nvSpPr>
      <xdr:spPr>
        <a:xfrm>
          <a:off x="349997" y="373529"/>
          <a:ext cx="1863165" cy="517599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17</xdr:row>
      <xdr:rowOff>10584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94616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21</xdr:row>
      <xdr:rowOff>33868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22</xdr:row>
      <xdr:rowOff>183940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87" y="3924389"/>
          <a:ext cx="365760" cy="368375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1924050"/>
          <a:ext cx="365760" cy="365760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9" name="TextBox 8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0" name="TextBox 9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1" name="TextBox 10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2" name="TextBox 11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3" name="Rectangle 12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4" name="Rectangle 13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15" name="Rectangle 14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16" name="Rectangle 15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17" name="Rectangle 16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18" name="Rectangle 17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19" name="Rectangle 18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0" name="Rectangle 19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162560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27</xdr:row>
      <xdr:rowOff>95444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67522</xdr:rowOff>
    </xdr:from>
    <xdr:to>
      <xdr:col>1</xdr:col>
      <xdr:colOff>520700</xdr:colOff>
      <xdr:row>14</xdr:row>
      <xdr:rowOff>64982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77322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24" name="Rectangle 23">
          <a:hlinkClick xmlns:r="http://schemas.openxmlformats.org/officeDocument/2006/relationships" r:id="rId16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25" name="Rectangle 24">
          <a:hlinkClick xmlns:r="http://schemas.openxmlformats.org/officeDocument/2006/relationships" r:id="rId17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4</xdr:col>
      <xdr:colOff>190500</xdr:colOff>
      <xdr:row>2</xdr:row>
      <xdr:rowOff>0</xdr:rowOff>
    </xdr:from>
    <xdr:to>
      <xdr:col>12</xdr:col>
      <xdr:colOff>9071</xdr:colOff>
      <xdr:row>5</xdr:row>
      <xdr:rowOff>50800</xdr:rowOff>
    </xdr:to>
    <xdr:sp macro="" textlink="">
      <xdr:nvSpPr>
        <xdr:cNvPr id="26" name="Rectangle 25"/>
        <xdr:cNvSpPr/>
      </xdr:nvSpPr>
      <xdr:spPr>
        <a:xfrm>
          <a:off x="2358571" y="362857"/>
          <a:ext cx="6340929" cy="59508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Purchase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0</xdr:rowOff>
    </xdr:from>
    <xdr:to>
      <xdr:col>4</xdr:col>
      <xdr:colOff>31750</xdr:colOff>
      <xdr:row>29</xdr:row>
      <xdr:rowOff>133350</xdr:rowOff>
    </xdr:to>
    <xdr:sp macro="" textlink="">
      <xdr:nvSpPr>
        <xdr:cNvPr id="2" name="Rectangle 1"/>
        <xdr:cNvSpPr/>
      </xdr:nvSpPr>
      <xdr:spPr>
        <a:xfrm>
          <a:off x="349250" y="368300"/>
          <a:ext cx="1854200" cy="5105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17</xdr:row>
      <xdr:rowOff>10584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94616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21</xdr:row>
      <xdr:rowOff>33868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23</xdr:row>
      <xdr:rowOff>2512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386948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1924050"/>
          <a:ext cx="365760" cy="365760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9" name="TextBox 8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0" name="TextBox 9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1" name="TextBox 10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2" name="TextBox 11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3" name="Rectangle 12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4" name="Rectangle 13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15" name="Rectangle 14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16" name="Rectangle 15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17" name="Rectangle 16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18" name="Rectangle 17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19" name="Rectangle 18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0" name="Rectangle 19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162560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27</xdr:row>
      <xdr:rowOff>95444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67522</xdr:rowOff>
    </xdr:from>
    <xdr:to>
      <xdr:col>1</xdr:col>
      <xdr:colOff>520700</xdr:colOff>
      <xdr:row>14</xdr:row>
      <xdr:rowOff>64982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77322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24" name="Rectangle 23">
          <a:hlinkClick xmlns:r="http://schemas.openxmlformats.org/officeDocument/2006/relationships" r:id="rId16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25" name="Rectangle 24">
          <a:hlinkClick xmlns:r="http://schemas.openxmlformats.org/officeDocument/2006/relationships" r:id="rId17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4</xdr:col>
      <xdr:colOff>190500</xdr:colOff>
      <xdr:row>2</xdr:row>
      <xdr:rowOff>0</xdr:rowOff>
    </xdr:from>
    <xdr:to>
      <xdr:col>14</xdr:col>
      <xdr:colOff>226785</xdr:colOff>
      <xdr:row>5</xdr:row>
      <xdr:rowOff>50800</xdr:rowOff>
    </xdr:to>
    <xdr:sp macro="" textlink="">
      <xdr:nvSpPr>
        <xdr:cNvPr id="26" name="Rectangle 25"/>
        <xdr:cNvSpPr/>
      </xdr:nvSpPr>
      <xdr:spPr>
        <a:xfrm>
          <a:off x="2358571" y="362857"/>
          <a:ext cx="8400143" cy="59508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Sales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0</xdr:rowOff>
    </xdr:from>
    <xdr:to>
      <xdr:col>4</xdr:col>
      <xdr:colOff>31750</xdr:colOff>
      <xdr:row>29</xdr:row>
      <xdr:rowOff>133350</xdr:rowOff>
    </xdr:to>
    <xdr:sp macro="" textlink="">
      <xdr:nvSpPr>
        <xdr:cNvPr id="2" name="Rectangle 1"/>
        <xdr:cNvSpPr/>
      </xdr:nvSpPr>
      <xdr:spPr>
        <a:xfrm>
          <a:off x="349250" y="368300"/>
          <a:ext cx="1854200" cy="5105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17</xdr:row>
      <xdr:rowOff>10584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94616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21</xdr:row>
      <xdr:rowOff>33868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22</xdr:row>
      <xdr:rowOff>183940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386948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1924050"/>
          <a:ext cx="365760" cy="365760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9" name="TextBox 8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0" name="TextBox 9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1" name="TextBox 10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2" name="TextBox 11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3" name="Rectangle 12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4" name="Rectangle 13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15" name="Rectangle 14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16" name="Rectangle 15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17" name="Rectangle 16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18" name="Rectangle 17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19" name="Rectangle 18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0" name="Rectangle 19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162560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27</xdr:row>
      <xdr:rowOff>95444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67522</xdr:rowOff>
    </xdr:from>
    <xdr:to>
      <xdr:col>1</xdr:col>
      <xdr:colOff>520700</xdr:colOff>
      <xdr:row>14</xdr:row>
      <xdr:rowOff>64982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77322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24" name="Rectangle 23">
          <a:hlinkClick xmlns:r="http://schemas.openxmlformats.org/officeDocument/2006/relationships" r:id="rId16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25" name="Rectangle 24">
          <a:hlinkClick xmlns:r="http://schemas.openxmlformats.org/officeDocument/2006/relationships" r:id="rId17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4</xdr:col>
      <xdr:colOff>190500</xdr:colOff>
      <xdr:row>2</xdr:row>
      <xdr:rowOff>0</xdr:rowOff>
    </xdr:from>
    <xdr:to>
      <xdr:col>13</xdr:col>
      <xdr:colOff>819150</xdr:colOff>
      <xdr:row>5</xdr:row>
      <xdr:rowOff>50800</xdr:rowOff>
    </xdr:to>
    <xdr:sp macro="" textlink="">
      <xdr:nvSpPr>
        <xdr:cNvPr id="26" name="Rectangle 25"/>
        <xdr:cNvSpPr/>
      </xdr:nvSpPr>
      <xdr:spPr>
        <a:xfrm>
          <a:off x="2362200" y="368300"/>
          <a:ext cx="7626350" cy="603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Inventory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0</xdr:rowOff>
    </xdr:from>
    <xdr:to>
      <xdr:col>4</xdr:col>
      <xdr:colOff>31750</xdr:colOff>
      <xdr:row>29</xdr:row>
      <xdr:rowOff>133350</xdr:rowOff>
    </xdr:to>
    <xdr:sp macro="" textlink="">
      <xdr:nvSpPr>
        <xdr:cNvPr id="2" name="Rectangle 1"/>
        <xdr:cNvSpPr/>
      </xdr:nvSpPr>
      <xdr:spPr>
        <a:xfrm>
          <a:off x="349250" y="368300"/>
          <a:ext cx="1854200" cy="5105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17</xdr:row>
      <xdr:rowOff>10584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94616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21</xdr:row>
      <xdr:rowOff>33868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22</xdr:row>
      <xdr:rowOff>183940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386948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1924050"/>
          <a:ext cx="365760" cy="365760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9" name="TextBox 8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0" name="TextBox 9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1" name="TextBox 10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2" name="TextBox 11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3" name="Rectangle 12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4" name="Rectangle 13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15" name="Rectangle 14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16" name="Rectangle 15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17" name="Rectangle 16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18" name="Rectangle 17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19" name="Rectangle 18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0" name="Rectangle 19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162560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27</xdr:row>
      <xdr:rowOff>95444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67522</xdr:rowOff>
    </xdr:from>
    <xdr:to>
      <xdr:col>1</xdr:col>
      <xdr:colOff>520700</xdr:colOff>
      <xdr:row>14</xdr:row>
      <xdr:rowOff>64982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77322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24" name="Rectangle 23">
          <a:hlinkClick xmlns:r="http://schemas.openxmlformats.org/officeDocument/2006/relationships" r:id="rId16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25" name="Rectangle 24">
          <a:hlinkClick xmlns:r="http://schemas.openxmlformats.org/officeDocument/2006/relationships" r:id="rId17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4</xdr:col>
      <xdr:colOff>190500</xdr:colOff>
      <xdr:row>2</xdr:row>
      <xdr:rowOff>0</xdr:rowOff>
    </xdr:from>
    <xdr:to>
      <xdr:col>13</xdr:col>
      <xdr:colOff>482600</xdr:colOff>
      <xdr:row>5</xdr:row>
      <xdr:rowOff>50800</xdr:rowOff>
    </xdr:to>
    <xdr:sp macro="" textlink="">
      <xdr:nvSpPr>
        <xdr:cNvPr id="26" name="Rectangle 25"/>
        <xdr:cNvSpPr/>
      </xdr:nvSpPr>
      <xdr:spPr>
        <a:xfrm>
          <a:off x="2362200" y="368300"/>
          <a:ext cx="5778500" cy="603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New</a:t>
          </a:r>
          <a:r>
            <a:rPr lang="en-US" sz="2400" b="1" baseline="0">
              <a:latin typeface="Arial Rounded MT Bold" panose="020F0704030504030204" pitchFamily="34" charset="0"/>
            </a:rPr>
            <a:t> Entry</a:t>
          </a:r>
          <a:endParaRPr lang="en-US" sz="24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5</xdr:col>
      <xdr:colOff>577850</xdr:colOff>
      <xdr:row>7</xdr:row>
      <xdr:rowOff>114300</xdr:rowOff>
    </xdr:from>
    <xdr:to>
      <xdr:col>11</xdr:col>
      <xdr:colOff>419100</xdr:colOff>
      <xdr:row>9</xdr:row>
      <xdr:rowOff>165100</xdr:rowOff>
    </xdr:to>
    <xdr:sp macro="" textlink="">
      <xdr:nvSpPr>
        <xdr:cNvPr id="27" name="Rectangle 26">
          <a:hlinkClick xmlns:r="http://schemas.openxmlformats.org/officeDocument/2006/relationships" r:id="rId10"/>
        </xdr:cNvPr>
        <xdr:cNvSpPr/>
      </xdr:nvSpPr>
      <xdr:spPr>
        <a:xfrm>
          <a:off x="3359150" y="1403350"/>
          <a:ext cx="3498850" cy="419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Arial Rounded MT Bold" panose="020F0704030504030204" pitchFamily="34" charset="0"/>
            </a:rPr>
            <a:t>Purchase</a:t>
          </a:r>
          <a:r>
            <a:rPr lang="en-US" sz="1600" b="1" baseline="0">
              <a:latin typeface="Arial Rounded MT Bold" panose="020F0704030504030204" pitchFamily="34" charset="0"/>
            </a:rPr>
            <a:t> Entry</a:t>
          </a:r>
          <a:endParaRPr lang="en-US" sz="16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5</xdr:col>
      <xdr:colOff>558800</xdr:colOff>
      <xdr:row>11</xdr:row>
      <xdr:rowOff>139700</xdr:rowOff>
    </xdr:from>
    <xdr:to>
      <xdr:col>11</xdr:col>
      <xdr:colOff>400050</xdr:colOff>
      <xdr:row>14</xdr:row>
      <xdr:rowOff>6350</xdr:rowOff>
    </xdr:to>
    <xdr:sp macro="" textlink="">
      <xdr:nvSpPr>
        <xdr:cNvPr id="28" name="Rectangle 27">
          <a:hlinkClick xmlns:r="http://schemas.openxmlformats.org/officeDocument/2006/relationships" r:id="rId11"/>
        </xdr:cNvPr>
        <xdr:cNvSpPr/>
      </xdr:nvSpPr>
      <xdr:spPr>
        <a:xfrm>
          <a:off x="3340100" y="2165350"/>
          <a:ext cx="3498850" cy="419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latin typeface="Arial Rounded MT Bold" panose="020F0704030504030204" pitchFamily="34" charset="0"/>
            </a:rPr>
            <a:t>   Sales Entry</a:t>
          </a:r>
        </a:p>
      </xdr:txBody>
    </xdr:sp>
    <xdr:clientData/>
  </xdr:twoCellAnchor>
  <xdr:twoCellAnchor>
    <xdr:from>
      <xdr:col>5</xdr:col>
      <xdr:colOff>565150</xdr:colOff>
      <xdr:row>11</xdr:row>
      <xdr:rowOff>139700</xdr:rowOff>
    </xdr:from>
    <xdr:to>
      <xdr:col>6</xdr:col>
      <xdr:colOff>82550</xdr:colOff>
      <xdr:row>14</xdr:row>
      <xdr:rowOff>6350</xdr:rowOff>
    </xdr:to>
    <xdr:sp macro="" textlink="">
      <xdr:nvSpPr>
        <xdr:cNvPr id="29" name="Rectangle 28"/>
        <xdr:cNvSpPr/>
      </xdr:nvSpPr>
      <xdr:spPr>
        <a:xfrm>
          <a:off x="3346450" y="2165350"/>
          <a:ext cx="127000" cy="419100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304800</xdr:colOff>
      <xdr:row>7</xdr:row>
      <xdr:rowOff>114300</xdr:rowOff>
    </xdr:from>
    <xdr:to>
      <xdr:col>11</xdr:col>
      <xdr:colOff>412750</xdr:colOff>
      <xdr:row>9</xdr:row>
      <xdr:rowOff>165100</xdr:rowOff>
    </xdr:to>
    <xdr:sp macro="" textlink="">
      <xdr:nvSpPr>
        <xdr:cNvPr id="30" name="Rectangle 29"/>
        <xdr:cNvSpPr/>
      </xdr:nvSpPr>
      <xdr:spPr>
        <a:xfrm>
          <a:off x="6743700" y="1403350"/>
          <a:ext cx="107950" cy="4191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2</xdr:row>
      <xdr:rowOff>0</xdr:rowOff>
    </xdr:from>
    <xdr:to>
      <xdr:col>4</xdr:col>
      <xdr:colOff>31750</xdr:colOff>
      <xdr:row>30</xdr:row>
      <xdr:rowOff>0</xdr:rowOff>
    </xdr:to>
    <xdr:sp macro="" textlink="">
      <xdr:nvSpPr>
        <xdr:cNvPr id="2" name="Rectangle 1"/>
        <xdr:cNvSpPr/>
      </xdr:nvSpPr>
      <xdr:spPr>
        <a:xfrm>
          <a:off x="351064" y="362857"/>
          <a:ext cx="1848757" cy="58420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</xdr:col>
      <xdr:colOff>63500</xdr:colOff>
      <xdr:row>14</xdr:row>
      <xdr:rowOff>14394</xdr:rowOff>
    </xdr:from>
    <xdr:to>
      <xdr:col>2</xdr:col>
      <xdr:colOff>2540</xdr:colOff>
      <xdr:row>16</xdr:row>
      <xdr:rowOff>153592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2592494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603250</xdr:colOff>
      <xdr:row>2</xdr:row>
      <xdr:rowOff>44450</xdr:rowOff>
    </xdr:from>
    <xdr:to>
      <xdr:col>3</xdr:col>
      <xdr:colOff>24130</xdr:colOff>
      <xdr:row>5</xdr:row>
      <xdr:rowOff>132080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412750"/>
          <a:ext cx="64008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</xdr:colOff>
      <xdr:row>17</xdr:row>
      <xdr:rowOff>4446</xdr:rowOff>
    </xdr:from>
    <xdr:to>
      <xdr:col>1</xdr:col>
      <xdr:colOff>474980</xdr:colOff>
      <xdr:row>18</xdr:row>
      <xdr:rowOff>50861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560" y="3134996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37678</xdr:rowOff>
    </xdr:from>
    <xdr:to>
      <xdr:col>2</xdr:col>
      <xdr:colOff>2540</xdr:colOff>
      <xdr:row>20</xdr:row>
      <xdr:rowOff>138456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" y="3352378"/>
          <a:ext cx="548640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21</xdr:row>
      <xdr:rowOff>2330</xdr:rowOff>
    </xdr:from>
    <xdr:to>
      <xdr:col>1</xdr:col>
      <xdr:colOff>520700</xdr:colOff>
      <xdr:row>22</xdr:row>
      <xdr:rowOff>139115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386948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10</xdr:row>
      <xdr:rowOff>82550</xdr:rowOff>
    </xdr:from>
    <xdr:to>
      <xdr:col>1</xdr:col>
      <xdr:colOff>520700</xdr:colOff>
      <xdr:row>12</xdr:row>
      <xdr:rowOff>80010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87" y="1950197"/>
          <a:ext cx="365760" cy="370989"/>
        </a:xfrm>
        <a:prstGeom prst="rect">
          <a:avLst/>
        </a:prstGeom>
      </xdr:spPr>
    </xdr:pic>
    <xdr:clientData/>
  </xdr:twoCellAnchor>
  <xdr:oneCellAnchor>
    <xdr:from>
      <xdr:col>1</xdr:col>
      <xdr:colOff>488950</xdr:colOff>
      <xdr:row>7</xdr:row>
      <xdr:rowOff>95250</xdr:rowOff>
    </xdr:from>
    <xdr:ext cx="184731" cy="264560"/>
    <xdr:sp macro="" textlink="">
      <xdr:nvSpPr>
        <xdr:cNvPr id="13" name="TextBox 12"/>
        <xdr:cNvSpPr txBox="1"/>
      </xdr:nvSpPr>
      <xdr:spPr>
        <a:xfrm>
          <a:off x="831850" y="138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203200</xdr:colOff>
      <xdr:row>7</xdr:row>
      <xdr:rowOff>57150</xdr:rowOff>
    </xdr:from>
    <xdr:ext cx="184731" cy="264560"/>
    <xdr:sp macro="" textlink="">
      <xdr:nvSpPr>
        <xdr:cNvPr id="14" name="TextBox 13"/>
        <xdr:cNvSpPr txBox="1"/>
      </xdr:nvSpPr>
      <xdr:spPr>
        <a:xfrm>
          <a:off x="1155700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495300</xdr:colOff>
      <xdr:row>7</xdr:row>
      <xdr:rowOff>63500</xdr:rowOff>
    </xdr:from>
    <xdr:ext cx="184731" cy="264560"/>
    <xdr:sp macro="" textlink="">
      <xdr:nvSpPr>
        <xdr:cNvPr id="16" name="TextBox 15"/>
        <xdr:cNvSpPr txBox="1"/>
      </xdr:nvSpPr>
      <xdr:spPr>
        <a:xfrm>
          <a:off x="838200" y="1352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215900</xdr:colOff>
      <xdr:row>5</xdr:row>
      <xdr:rowOff>114300</xdr:rowOff>
    </xdr:from>
    <xdr:ext cx="1416050" cy="476250"/>
    <xdr:sp macro="" textlink="">
      <xdr:nvSpPr>
        <xdr:cNvPr id="17" name="TextBox 16"/>
        <xdr:cNvSpPr txBox="1"/>
      </xdr:nvSpPr>
      <xdr:spPr>
        <a:xfrm>
          <a:off x="558800" y="1035050"/>
          <a:ext cx="141605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1200" b="1"/>
            <a:t>Inventory</a:t>
          </a:r>
          <a:r>
            <a:rPr lang="en-US" sz="1200" b="1" baseline="0"/>
            <a:t> </a:t>
          </a:r>
        </a:p>
        <a:p>
          <a:pPr algn="ctr"/>
          <a:r>
            <a:rPr lang="en-US" sz="1200" b="1" baseline="0"/>
            <a:t>Management System</a:t>
          </a:r>
          <a:endParaRPr lang="en-US" sz="1200" b="1"/>
        </a:p>
      </xdr:txBody>
    </xdr:sp>
    <xdr:clientData/>
  </xdr:oneCellAnchor>
  <xdr:twoCellAnchor>
    <xdr:from>
      <xdr:col>1</xdr:col>
      <xdr:colOff>527050</xdr:colOff>
      <xdr:row>10</xdr:row>
      <xdr:rowOff>107950</xdr:rowOff>
    </xdr:from>
    <xdr:to>
      <xdr:col>3</xdr:col>
      <xdr:colOff>546100</xdr:colOff>
      <xdr:row>12</xdr:row>
      <xdr:rowOff>6350</xdr:rowOff>
    </xdr:to>
    <xdr:sp macro="" textlink="">
      <xdr:nvSpPr>
        <xdr:cNvPr id="18" name="Rectangle 17"/>
        <xdr:cNvSpPr/>
      </xdr:nvSpPr>
      <xdr:spPr>
        <a:xfrm>
          <a:off x="86995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Dashboard</a:t>
          </a:r>
        </a:p>
      </xdr:txBody>
    </xdr:sp>
    <xdr:clientData/>
  </xdr:twoCellAnchor>
  <xdr:twoCellAnchor>
    <xdr:from>
      <xdr:col>1</xdr:col>
      <xdr:colOff>527050</xdr:colOff>
      <xdr:row>12</xdr:row>
      <xdr:rowOff>130629</xdr:rowOff>
    </xdr:from>
    <xdr:to>
      <xdr:col>3</xdr:col>
      <xdr:colOff>546100</xdr:colOff>
      <xdr:row>14</xdr:row>
      <xdr:rowOff>29029</xdr:rowOff>
    </xdr:to>
    <xdr:sp macro="" textlink="">
      <xdr:nvSpPr>
        <xdr:cNvPr id="19" name="Rectangle 18"/>
        <xdr:cNvSpPr/>
      </xdr:nvSpPr>
      <xdr:spPr>
        <a:xfrm>
          <a:off x="86995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Customers</a:t>
          </a:r>
        </a:p>
      </xdr:txBody>
    </xdr:sp>
    <xdr:clientData/>
  </xdr:twoCellAnchor>
  <xdr:twoCellAnchor>
    <xdr:from>
      <xdr:col>1</xdr:col>
      <xdr:colOff>546100</xdr:colOff>
      <xdr:row>14</xdr:row>
      <xdr:rowOff>153308</xdr:rowOff>
    </xdr:from>
    <xdr:to>
      <xdr:col>3</xdr:col>
      <xdr:colOff>546100</xdr:colOff>
      <xdr:row>16</xdr:row>
      <xdr:rowOff>51708</xdr:rowOff>
    </xdr:to>
    <xdr:sp macro="" textlink="">
      <xdr:nvSpPr>
        <xdr:cNvPr id="20" name="Rectangle 19">
          <a:hlinkClick xmlns:r="http://schemas.openxmlformats.org/officeDocument/2006/relationships" r:id="rId7"/>
        </xdr:cNvPr>
        <xdr:cNvSpPr/>
      </xdr:nvSpPr>
      <xdr:spPr>
        <a:xfrm>
          <a:off x="889000" y="2731408"/>
          <a:ext cx="12192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577850</xdr:colOff>
      <xdr:row>16</xdr:row>
      <xdr:rowOff>175987</xdr:rowOff>
    </xdr:from>
    <xdr:to>
      <xdr:col>3</xdr:col>
      <xdr:colOff>546100</xdr:colOff>
      <xdr:row>18</xdr:row>
      <xdr:rowOff>74387</xdr:rowOff>
    </xdr:to>
    <xdr:sp macro="" textlink="">
      <xdr:nvSpPr>
        <xdr:cNvPr id="21" name="Rectangle 20">
          <a:hlinkClick xmlns:r="http://schemas.openxmlformats.org/officeDocument/2006/relationships" r:id="rId8"/>
        </xdr:cNvPr>
        <xdr:cNvSpPr/>
      </xdr:nvSpPr>
      <xdr:spPr>
        <a:xfrm>
          <a:off x="920750" y="3122387"/>
          <a:ext cx="11874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533400</xdr:colOff>
      <xdr:row>19</xdr:row>
      <xdr:rowOff>14516</xdr:rowOff>
    </xdr:from>
    <xdr:to>
      <xdr:col>3</xdr:col>
      <xdr:colOff>546100</xdr:colOff>
      <xdr:row>20</xdr:row>
      <xdr:rowOff>97066</xdr:rowOff>
    </xdr:to>
    <xdr:sp macro="" textlink="">
      <xdr:nvSpPr>
        <xdr:cNvPr id="22" name="Rectangle 21">
          <a:hlinkClick xmlns:r="http://schemas.openxmlformats.org/officeDocument/2006/relationships" r:id="rId9"/>
        </xdr:cNvPr>
        <xdr:cNvSpPr/>
      </xdr:nvSpPr>
      <xdr:spPr>
        <a:xfrm>
          <a:off x="876300" y="3513366"/>
          <a:ext cx="12319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520700</xdr:colOff>
      <xdr:row>21</xdr:row>
      <xdr:rowOff>37195</xdr:rowOff>
    </xdr:from>
    <xdr:to>
      <xdr:col>3</xdr:col>
      <xdr:colOff>546100</xdr:colOff>
      <xdr:row>22</xdr:row>
      <xdr:rowOff>119745</xdr:rowOff>
    </xdr:to>
    <xdr:sp macro="" textlink="">
      <xdr:nvSpPr>
        <xdr:cNvPr id="23" name="Rectangle 22">
          <a:hlinkClick xmlns:r="http://schemas.openxmlformats.org/officeDocument/2006/relationships" r:id="rId10"/>
        </xdr:cNvPr>
        <xdr:cNvSpPr/>
      </xdr:nvSpPr>
      <xdr:spPr>
        <a:xfrm>
          <a:off x="863600" y="3904345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520700</xdr:colOff>
      <xdr:row>23</xdr:row>
      <xdr:rowOff>59874</xdr:rowOff>
    </xdr:from>
    <xdr:to>
      <xdr:col>3</xdr:col>
      <xdr:colOff>546100</xdr:colOff>
      <xdr:row>24</xdr:row>
      <xdr:rowOff>142424</xdr:rowOff>
    </xdr:to>
    <xdr:sp macro="" textlink="">
      <xdr:nvSpPr>
        <xdr:cNvPr id="24" name="Rectangle 23">
          <a:hlinkClick xmlns:r="http://schemas.openxmlformats.org/officeDocument/2006/relationships" r:id="rId11"/>
        </xdr:cNvPr>
        <xdr:cNvSpPr/>
      </xdr:nvSpPr>
      <xdr:spPr>
        <a:xfrm>
          <a:off x="863600" y="4295324"/>
          <a:ext cx="124460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552450</xdr:colOff>
      <xdr:row>25</xdr:row>
      <xdr:rowOff>82550</xdr:rowOff>
    </xdr:from>
    <xdr:to>
      <xdr:col>3</xdr:col>
      <xdr:colOff>546100</xdr:colOff>
      <xdr:row>26</xdr:row>
      <xdr:rowOff>165100</xdr:rowOff>
    </xdr:to>
    <xdr:sp macro="" textlink="">
      <xdr:nvSpPr>
        <xdr:cNvPr id="25" name="Rectangle 24">
          <a:hlinkClick xmlns:r="http://schemas.openxmlformats.org/officeDocument/2006/relationships" r:id="rId12"/>
        </xdr:cNvPr>
        <xdr:cNvSpPr/>
      </xdr:nvSpPr>
      <xdr:spPr>
        <a:xfrm>
          <a:off x="895350" y="4686300"/>
          <a:ext cx="12128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Invenntory</a:t>
          </a:r>
        </a:p>
      </xdr:txBody>
    </xdr:sp>
    <xdr:clientData/>
  </xdr:twoCellAnchor>
  <xdr:twoCellAnchor editAs="oneCell">
    <xdr:from>
      <xdr:col>1</xdr:col>
      <xdr:colOff>154940</xdr:colOff>
      <xdr:row>22</xdr:row>
      <xdr:rowOff>165100</xdr:rowOff>
    </xdr:from>
    <xdr:to>
      <xdr:col>1</xdr:col>
      <xdr:colOff>520700</xdr:colOff>
      <xdr:row>24</xdr:row>
      <xdr:rowOff>75048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4216400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24</xdr:row>
      <xdr:rowOff>114300</xdr:rowOff>
    </xdr:from>
    <xdr:to>
      <xdr:col>2</xdr:col>
      <xdr:colOff>81280</xdr:colOff>
      <xdr:row>26</xdr:row>
      <xdr:rowOff>200032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4533900"/>
          <a:ext cx="640080" cy="533594"/>
        </a:xfrm>
        <a:prstGeom prst="rect">
          <a:avLst/>
        </a:prstGeom>
      </xdr:spPr>
    </xdr:pic>
    <xdr:clientData/>
  </xdr:twoCellAnchor>
  <xdr:twoCellAnchor editAs="oneCell">
    <xdr:from>
      <xdr:col>1</xdr:col>
      <xdr:colOff>154940</xdr:colOff>
      <xdr:row>12</xdr:row>
      <xdr:rowOff>67522</xdr:rowOff>
    </xdr:from>
    <xdr:to>
      <xdr:col>1</xdr:col>
      <xdr:colOff>520700</xdr:colOff>
      <xdr:row>14</xdr:row>
      <xdr:rowOff>64982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" y="2277322"/>
          <a:ext cx="365760" cy="365760"/>
        </a:xfrm>
        <a:prstGeom prst="rect">
          <a:avLst/>
        </a:prstGeom>
      </xdr:spPr>
    </xdr:pic>
    <xdr:clientData/>
  </xdr:twoCellAnchor>
  <xdr:twoCellAnchor>
    <xdr:from>
      <xdr:col>1</xdr:col>
      <xdr:colOff>546100</xdr:colOff>
      <xdr:row>10</xdr:row>
      <xdr:rowOff>107950</xdr:rowOff>
    </xdr:from>
    <xdr:to>
      <xdr:col>3</xdr:col>
      <xdr:colOff>565150</xdr:colOff>
      <xdr:row>12</xdr:row>
      <xdr:rowOff>6350</xdr:rowOff>
    </xdr:to>
    <xdr:sp macro="" textlink="">
      <xdr:nvSpPr>
        <xdr:cNvPr id="39" name="Rectangle 38">
          <a:hlinkClick xmlns:r="http://schemas.openxmlformats.org/officeDocument/2006/relationships" r:id="rId16"/>
        </xdr:cNvPr>
        <xdr:cNvSpPr/>
      </xdr:nvSpPr>
      <xdr:spPr>
        <a:xfrm>
          <a:off x="889000" y="1949450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546100</xdr:colOff>
      <xdr:row>12</xdr:row>
      <xdr:rowOff>130629</xdr:rowOff>
    </xdr:from>
    <xdr:to>
      <xdr:col>3</xdr:col>
      <xdr:colOff>565150</xdr:colOff>
      <xdr:row>14</xdr:row>
      <xdr:rowOff>29029</xdr:rowOff>
    </xdr:to>
    <xdr:sp macro="" textlink="">
      <xdr:nvSpPr>
        <xdr:cNvPr id="40" name="Rectangle 39">
          <a:hlinkClick xmlns:r="http://schemas.openxmlformats.org/officeDocument/2006/relationships" r:id="rId17"/>
        </xdr:cNvPr>
        <xdr:cNvSpPr/>
      </xdr:nvSpPr>
      <xdr:spPr>
        <a:xfrm>
          <a:off x="889000" y="2340429"/>
          <a:ext cx="1238250" cy="266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>
                  <a:lumMod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4</xdr:col>
      <xdr:colOff>190500</xdr:colOff>
      <xdr:row>2</xdr:row>
      <xdr:rowOff>0</xdr:rowOff>
    </xdr:from>
    <xdr:to>
      <xdr:col>14</xdr:col>
      <xdr:colOff>4532512</xdr:colOff>
      <xdr:row>5</xdr:row>
      <xdr:rowOff>50800</xdr:rowOff>
    </xdr:to>
    <xdr:sp macro="" textlink="">
      <xdr:nvSpPr>
        <xdr:cNvPr id="41" name="Rectangle 40"/>
        <xdr:cNvSpPr/>
      </xdr:nvSpPr>
      <xdr:spPr>
        <a:xfrm>
          <a:off x="2371912" y="373529"/>
          <a:ext cx="10275794" cy="61109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latin typeface="Arial Rounded MT Bold" panose="020F0704030504030204" pitchFamily="34" charset="0"/>
            </a:rPr>
            <a:t>Inventory Management</a:t>
          </a:r>
          <a:r>
            <a:rPr lang="en-US" sz="2400" b="1" baseline="0">
              <a:latin typeface="Arial Rounded MT Bold" panose="020F0704030504030204" pitchFamily="34" charset="0"/>
            </a:rPr>
            <a:t> System</a:t>
          </a:r>
          <a:endParaRPr lang="en-US" sz="2400" b="1">
            <a:latin typeface="Arial Rounded MT Bold" panose="020F0704030504030204" pitchFamily="34" charset="0"/>
          </a:endParaRPr>
        </a:p>
      </xdr:txBody>
    </xdr:sp>
    <xdr:clientData/>
  </xdr:twoCellAnchor>
  <xdr:twoCellAnchor editAs="absolute">
    <xdr:from>
      <xdr:col>4</xdr:col>
      <xdr:colOff>177800</xdr:colOff>
      <xdr:row>5</xdr:row>
      <xdr:rowOff>158750</xdr:rowOff>
    </xdr:from>
    <xdr:to>
      <xdr:col>7</xdr:col>
      <xdr:colOff>393700</xdr:colOff>
      <xdr:row>9</xdr:row>
      <xdr:rowOff>19050</xdr:rowOff>
    </xdr:to>
    <xdr:grpSp>
      <xdr:nvGrpSpPr>
        <xdr:cNvPr id="11" name="Group 10"/>
        <xdr:cNvGrpSpPr/>
      </xdr:nvGrpSpPr>
      <xdr:grpSpPr>
        <a:xfrm>
          <a:off x="2345871" y="1065893"/>
          <a:ext cx="1631043" cy="586014"/>
          <a:chOff x="2349500" y="1060450"/>
          <a:chExt cx="1631950" cy="596900"/>
        </a:xfrm>
      </xdr:grpSpPr>
      <xdr:sp macro="" textlink="">
        <xdr:nvSpPr>
          <xdr:cNvPr id="10" name="Rectangle 9"/>
          <xdr:cNvSpPr/>
        </xdr:nvSpPr>
        <xdr:spPr>
          <a:xfrm>
            <a:off x="2349500" y="1060450"/>
            <a:ext cx="1631950" cy="596900"/>
          </a:xfrm>
          <a:prstGeom prst="rect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     Total</a:t>
            </a:r>
            <a:r>
              <a:rPr lang="en-US" sz="1400" b="1" baseline="0">
                <a:solidFill>
                  <a:schemeClr val="tx1"/>
                </a:solidFill>
              </a:rPr>
              <a:t> Customers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30" name="Rectangle 29"/>
          <xdr:cNvSpPr/>
        </xdr:nvSpPr>
        <xdr:spPr>
          <a:xfrm>
            <a:off x="2355850" y="1060450"/>
            <a:ext cx="158750" cy="596900"/>
          </a:xfrm>
          <a:prstGeom prst="rect">
            <a:avLst/>
          </a:prstGeom>
          <a:solidFill>
            <a:schemeClr val="accent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absolute">
    <xdr:from>
      <xdr:col>7</xdr:col>
      <xdr:colOff>482600</xdr:colOff>
      <xdr:row>5</xdr:row>
      <xdr:rowOff>165100</xdr:rowOff>
    </xdr:from>
    <xdr:to>
      <xdr:col>10</xdr:col>
      <xdr:colOff>285750</xdr:colOff>
      <xdr:row>9</xdr:row>
      <xdr:rowOff>25400</xdr:rowOff>
    </xdr:to>
    <xdr:grpSp>
      <xdr:nvGrpSpPr>
        <xdr:cNvPr id="31" name="Group 30"/>
        <xdr:cNvGrpSpPr/>
      </xdr:nvGrpSpPr>
      <xdr:grpSpPr>
        <a:xfrm>
          <a:off x="4065814" y="1072243"/>
          <a:ext cx="1626507" cy="586014"/>
          <a:chOff x="2349500" y="1060450"/>
          <a:chExt cx="1631950" cy="596900"/>
        </a:xfrm>
      </xdr:grpSpPr>
      <xdr:sp macro="" textlink="">
        <xdr:nvSpPr>
          <xdr:cNvPr id="32" name="Rectangle 31"/>
          <xdr:cNvSpPr/>
        </xdr:nvSpPr>
        <xdr:spPr>
          <a:xfrm>
            <a:off x="2349500" y="1060450"/>
            <a:ext cx="1631950" cy="596900"/>
          </a:xfrm>
          <a:prstGeom prst="rect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    Total</a:t>
            </a:r>
            <a:r>
              <a:rPr lang="en-US" sz="1400" b="1" baseline="0">
                <a:solidFill>
                  <a:schemeClr val="tx1"/>
                </a:solidFill>
              </a:rPr>
              <a:t> Products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33" name="Rectangle 32"/>
          <xdr:cNvSpPr/>
        </xdr:nvSpPr>
        <xdr:spPr>
          <a:xfrm>
            <a:off x="2355850" y="1060450"/>
            <a:ext cx="158750" cy="596900"/>
          </a:xfrm>
          <a:prstGeom prst="rect">
            <a:avLst/>
          </a:prstGeom>
          <a:solidFill>
            <a:srgbClr val="FFC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absolute">
    <xdr:from>
      <xdr:col>10</xdr:col>
      <xdr:colOff>387350</xdr:colOff>
      <xdr:row>5</xdr:row>
      <xdr:rowOff>165100</xdr:rowOff>
    </xdr:from>
    <xdr:to>
      <xdr:col>13</xdr:col>
      <xdr:colOff>190500</xdr:colOff>
      <xdr:row>9</xdr:row>
      <xdr:rowOff>25400</xdr:rowOff>
    </xdr:to>
    <xdr:grpSp>
      <xdr:nvGrpSpPr>
        <xdr:cNvPr id="34" name="Group 33"/>
        <xdr:cNvGrpSpPr/>
      </xdr:nvGrpSpPr>
      <xdr:grpSpPr>
        <a:xfrm>
          <a:off x="5793921" y="1072243"/>
          <a:ext cx="1626508" cy="586014"/>
          <a:chOff x="2349500" y="1060450"/>
          <a:chExt cx="1631950" cy="596900"/>
        </a:xfrm>
      </xdr:grpSpPr>
      <xdr:sp macro="" textlink="">
        <xdr:nvSpPr>
          <xdr:cNvPr id="35" name="Rectangle 34"/>
          <xdr:cNvSpPr/>
        </xdr:nvSpPr>
        <xdr:spPr>
          <a:xfrm>
            <a:off x="2349500" y="1060450"/>
            <a:ext cx="1631950" cy="596900"/>
          </a:xfrm>
          <a:prstGeom prst="rect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   Percgase </a:t>
            </a:r>
            <a:r>
              <a:rPr lang="en-US" sz="1400" b="1" baseline="0">
                <a:solidFill>
                  <a:schemeClr val="tx1"/>
                </a:solidFill>
              </a:rPr>
              <a:t>Amount</a:t>
            </a:r>
            <a:endParaRPr lang="en-US" sz="1400" b="1">
              <a:solidFill>
                <a:schemeClr val="tx1"/>
              </a:solidFill>
            </a:endParaRPr>
          </a:p>
        </xdr:txBody>
      </xdr:sp>
      <xdr:sp macro="" textlink="">
        <xdr:nvSpPr>
          <xdr:cNvPr id="36" name="Rectangle 35"/>
          <xdr:cNvSpPr/>
        </xdr:nvSpPr>
        <xdr:spPr>
          <a:xfrm>
            <a:off x="2355850" y="1060450"/>
            <a:ext cx="158750" cy="596900"/>
          </a:xfrm>
          <a:prstGeom prst="rect">
            <a:avLst/>
          </a:prstGeom>
          <a:solidFill>
            <a:srgbClr val="00B05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absolute">
    <xdr:from>
      <xdr:col>13</xdr:col>
      <xdr:colOff>279400</xdr:colOff>
      <xdr:row>5</xdr:row>
      <xdr:rowOff>158750</xdr:rowOff>
    </xdr:from>
    <xdr:to>
      <xdr:col>14</xdr:col>
      <xdr:colOff>1080941</xdr:colOff>
      <xdr:row>9</xdr:row>
      <xdr:rowOff>19050</xdr:rowOff>
    </xdr:to>
    <xdr:grpSp>
      <xdr:nvGrpSpPr>
        <xdr:cNvPr id="42" name="Group 41"/>
        <xdr:cNvGrpSpPr/>
      </xdr:nvGrpSpPr>
      <xdr:grpSpPr>
        <a:xfrm>
          <a:off x="7509329" y="1065893"/>
          <a:ext cx="1636112" cy="586014"/>
          <a:chOff x="2349500" y="1060450"/>
          <a:chExt cx="1631950" cy="596900"/>
        </a:xfrm>
      </xdr:grpSpPr>
      <xdr:sp macro="" textlink="">
        <xdr:nvSpPr>
          <xdr:cNvPr id="43" name="Rectangle 42"/>
          <xdr:cNvSpPr/>
        </xdr:nvSpPr>
        <xdr:spPr>
          <a:xfrm>
            <a:off x="2349500" y="1060450"/>
            <a:ext cx="1631950" cy="596900"/>
          </a:xfrm>
          <a:prstGeom prst="rect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    Sales Amount</a:t>
            </a:r>
          </a:p>
        </xdr:txBody>
      </xdr:sp>
      <xdr:sp macro="" textlink="">
        <xdr:nvSpPr>
          <xdr:cNvPr id="44" name="Rectangle 43"/>
          <xdr:cNvSpPr/>
        </xdr:nvSpPr>
        <xdr:spPr>
          <a:xfrm>
            <a:off x="2355850" y="1060450"/>
            <a:ext cx="158750" cy="596900"/>
          </a:xfrm>
          <a:prstGeom prst="rect">
            <a:avLst/>
          </a:prstGeom>
          <a:solidFill>
            <a:srgbClr val="C000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absolute">
    <xdr:from>
      <xdr:col>14</xdr:col>
      <xdr:colOff>1176191</xdr:colOff>
      <xdr:row>5</xdr:row>
      <xdr:rowOff>158750</xdr:rowOff>
    </xdr:from>
    <xdr:to>
      <xdr:col>14</xdr:col>
      <xdr:colOff>2814117</xdr:colOff>
      <xdr:row>9</xdr:row>
      <xdr:rowOff>19050</xdr:rowOff>
    </xdr:to>
    <xdr:grpSp>
      <xdr:nvGrpSpPr>
        <xdr:cNvPr id="45" name="Group 44"/>
        <xdr:cNvGrpSpPr/>
      </xdr:nvGrpSpPr>
      <xdr:grpSpPr>
        <a:xfrm>
          <a:off x="9240691" y="1065893"/>
          <a:ext cx="1637926" cy="586014"/>
          <a:chOff x="2349500" y="1060450"/>
          <a:chExt cx="1631950" cy="596900"/>
        </a:xfrm>
      </xdr:grpSpPr>
      <xdr:sp macro="" textlink="">
        <xdr:nvSpPr>
          <xdr:cNvPr id="46" name="Rectangle 45"/>
          <xdr:cNvSpPr/>
        </xdr:nvSpPr>
        <xdr:spPr>
          <a:xfrm>
            <a:off x="2349500" y="1060450"/>
            <a:ext cx="1631950" cy="596900"/>
          </a:xfrm>
          <a:prstGeom prst="rect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    Stock Amount</a:t>
            </a:r>
          </a:p>
        </xdr:txBody>
      </xdr:sp>
      <xdr:sp macro="" textlink="">
        <xdr:nvSpPr>
          <xdr:cNvPr id="47" name="Rectangle 46"/>
          <xdr:cNvSpPr/>
        </xdr:nvSpPr>
        <xdr:spPr>
          <a:xfrm>
            <a:off x="2355850" y="1060450"/>
            <a:ext cx="158750" cy="596900"/>
          </a:xfrm>
          <a:prstGeom prst="rect">
            <a:avLst/>
          </a:prstGeom>
          <a:solidFill>
            <a:srgbClr val="7030A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absolute">
    <xdr:from>
      <xdr:col>5</xdr:col>
      <xdr:colOff>501650</xdr:colOff>
      <xdr:row>7</xdr:row>
      <xdr:rowOff>38100</xdr:rowOff>
    </xdr:from>
    <xdr:to>
      <xdr:col>5</xdr:col>
      <xdr:colOff>547369</xdr:colOff>
      <xdr:row>7</xdr:row>
      <xdr:rowOff>83819</xdr:rowOff>
    </xdr:to>
    <xdr:sp macro="" textlink="">
      <xdr:nvSpPr>
        <xdr:cNvPr id="12" name="TextBox 11"/>
        <xdr:cNvSpPr txBox="1"/>
      </xdr:nvSpPr>
      <xdr:spPr>
        <a:xfrm>
          <a:off x="2870200" y="1327150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6</xdr:col>
      <xdr:colOff>104589</xdr:colOff>
      <xdr:row>19</xdr:row>
      <xdr:rowOff>29883</xdr:rowOff>
    </xdr:from>
    <xdr:ext cx="184731" cy="264560"/>
    <xdr:sp macro="" textlink="">
      <xdr:nvSpPr>
        <xdr:cNvPr id="15" name="TextBox 14"/>
        <xdr:cNvSpPr txBox="1"/>
      </xdr:nvSpPr>
      <xdr:spPr>
        <a:xfrm>
          <a:off x="3092824" y="35784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absolute">
    <xdr:from>
      <xdr:col>14</xdr:col>
      <xdr:colOff>2895920</xdr:colOff>
      <xdr:row>5</xdr:row>
      <xdr:rowOff>164352</xdr:rowOff>
    </xdr:from>
    <xdr:to>
      <xdr:col>14</xdr:col>
      <xdr:colOff>4534379</xdr:colOff>
      <xdr:row>9</xdr:row>
      <xdr:rowOff>24652</xdr:rowOff>
    </xdr:to>
    <xdr:grpSp>
      <xdr:nvGrpSpPr>
        <xdr:cNvPr id="48" name="Group 47"/>
        <xdr:cNvGrpSpPr/>
      </xdr:nvGrpSpPr>
      <xdr:grpSpPr>
        <a:xfrm>
          <a:off x="10960420" y="1071495"/>
          <a:ext cx="1638459" cy="586014"/>
          <a:chOff x="2349500" y="1060450"/>
          <a:chExt cx="1631950" cy="596900"/>
        </a:xfrm>
      </xdr:grpSpPr>
      <xdr:sp macro="" textlink="">
        <xdr:nvSpPr>
          <xdr:cNvPr id="49" name="Rectangle 48"/>
          <xdr:cNvSpPr/>
        </xdr:nvSpPr>
        <xdr:spPr>
          <a:xfrm>
            <a:off x="2349500" y="1060450"/>
            <a:ext cx="1631950" cy="596900"/>
          </a:xfrm>
          <a:prstGeom prst="rect">
            <a:avLst/>
          </a:prstGeom>
          <a:solidFill>
            <a:schemeClr val="bg1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</a:rPr>
              <a:t>    Profit/Loss</a:t>
            </a:r>
          </a:p>
        </xdr:txBody>
      </xdr:sp>
      <xdr:sp macro="" textlink="">
        <xdr:nvSpPr>
          <xdr:cNvPr id="50" name="Rectangle 49"/>
          <xdr:cNvSpPr/>
        </xdr:nvSpPr>
        <xdr:spPr>
          <a:xfrm>
            <a:off x="2355850" y="1060450"/>
            <a:ext cx="158750" cy="596900"/>
          </a:xfrm>
          <a:prstGeom prst="rect">
            <a:avLst/>
          </a:prstGeom>
          <a:solidFill>
            <a:srgbClr val="92D05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absolute">
    <xdr:from>
      <xdr:col>5</xdr:col>
      <xdr:colOff>261472</xdr:colOff>
      <xdr:row>7</xdr:row>
      <xdr:rowOff>52296</xdr:rowOff>
    </xdr:from>
    <xdr:to>
      <xdr:col>7</xdr:col>
      <xdr:colOff>388472</xdr:colOff>
      <xdr:row>9</xdr:row>
      <xdr:rowOff>29883</xdr:rowOff>
    </xdr:to>
    <xdr:sp macro="" textlink="Pivots!C2">
      <xdr:nvSpPr>
        <xdr:cNvPr id="26" name="Rectangle 25"/>
        <xdr:cNvSpPr/>
      </xdr:nvSpPr>
      <xdr:spPr>
        <a:xfrm>
          <a:off x="2637119" y="1359649"/>
          <a:ext cx="1352177" cy="35111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81E697ED-F962-4487-92CF-A49C7645B380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21</a:t>
          </a:fld>
          <a:endParaRPr lang="en-US" sz="1800" b="1"/>
        </a:p>
      </xdr:txBody>
    </xdr:sp>
    <xdr:clientData/>
  </xdr:twoCellAnchor>
  <xdr:twoCellAnchor editAs="absolute">
    <xdr:from>
      <xdr:col>8</xdr:col>
      <xdr:colOff>164354</xdr:colOff>
      <xdr:row>7</xdr:row>
      <xdr:rowOff>52293</xdr:rowOff>
    </xdr:from>
    <xdr:to>
      <xdr:col>10</xdr:col>
      <xdr:colOff>291355</xdr:colOff>
      <xdr:row>9</xdr:row>
      <xdr:rowOff>29880</xdr:rowOff>
    </xdr:to>
    <xdr:sp macro="" textlink="Pivots!C5">
      <xdr:nvSpPr>
        <xdr:cNvPr id="51" name="Rectangle 50"/>
        <xdr:cNvSpPr/>
      </xdr:nvSpPr>
      <xdr:spPr>
        <a:xfrm>
          <a:off x="4377766" y="1359646"/>
          <a:ext cx="1352177" cy="35111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272E50FE-0C1E-4BBA-B46E-F27F149A0009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12</a:t>
          </a:fld>
          <a:endParaRPr lang="en-US" sz="1800" b="1"/>
        </a:p>
      </xdr:txBody>
    </xdr:sp>
    <xdr:clientData/>
  </xdr:twoCellAnchor>
  <xdr:twoCellAnchor editAs="absolute">
    <xdr:from>
      <xdr:col>11</xdr:col>
      <xdr:colOff>52294</xdr:colOff>
      <xdr:row>7</xdr:row>
      <xdr:rowOff>59765</xdr:rowOff>
    </xdr:from>
    <xdr:to>
      <xdr:col>13</xdr:col>
      <xdr:colOff>179294</xdr:colOff>
      <xdr:row>9</xdr:row>
      <xdr:rowOff>37352</xdr:rowOff>
    </xdr:to>
    <xdr:sp macro="" textlink="Pivots!C8">
      <xdr:nvSpPr>
        <xdr:cNvPr id="52" name="Rectangle 51"/>
        <xdr:cNvSpPr/>
      </xdr:nvSpPr>
      <xdr:spPr>
        <a:xfrm>
          <a:off x="6103470" y="1367118"/>
          <a:ext cx="1352177" cy="35111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4B142BF6-63F6-4BC9-BB39-AE05C46E39BD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$ 64.2K</a:t>
          </a:fld>
          <a:endParaRPr lang="en-US" sz="1800" b="1"/>
        </a:p>
      </xdr:txBody>
    </xdr:sp>
    <xdr:clientData/>
  </xdr:twoCellAnchor>
  <xdr:twoCellAnchor editAs="absolute">
    <xdr:from>
      <xdr:col>13</xdr:col>
      <xdr:colOff>560296</xdr:colOff>
      <xdr:row>7</xdr:row>
      <xdr:rowOff>52293</xdr:rowOff>
    </xdr:from>
    <xdr:to>
      <xdr:col>14</xdr:col>
      <xdr:colOff>1073099</xdr:colOff>
      <xdr:row>9</xdr:row>
      <xdr:rowOff>29880</xdr:rowOff>
    </xdr:to>
    <xdr:sp macro="" textlink="Pivots!C12">
      <xdr:nvSpPr>
        <xdr:cNvPr id="53" name="Rectangle 52"/>
        <xdr:cNvSpPr/>
      </xdr:nvSpPr>
      <xdr:spPr>
        <a:xfrm>
          <a:off x="7836649" y="1359646"/>
          <a:ext cx="1352177" cy="35111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25C6FD89-B008-451E-B904-264E8405C52F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$ 16.2K</a:t>
          </a:fld>
          <a:endParaRPr lang="en-US" sz="1800" b="1"/>
        </a:p>
      </xdr:txBody>
    </xdr:sp>
    <xdr:clientData/>
  </xdr:twoCellAnchor>
  <xdr:twoCellAnchor editAs="absolute">
    <xdr:from>
      <xdr:col>14</xdr:col>
      <xdr:colOff>1454098</xdr:colOff>
      <xdr:row>7</xdr:row>
      <xdr:rowOff>52293</xdr:rowOff>
    </xdr:from>
    <xdr:to>
      <xdr:col>14</xdr:col>
      <xdr:colOff>2806275</xdr:colOff>
      <xdr:row>9</xdr:row>
      <xdr:rowOff>29880</xdr:rowOff>
    </xdr:to>
    <xdr:sp macro="" textlink="Pivots!C15">
      <xdr:nvSpPr>
        <xdr:cNvPr id="54" name="Rectangle 53"/>
        <xdr:cNvSpPr/>
      </xdr:nvSpPr>
      <xdr:spPr>
        <a:xfrm>
          <a:off x="9569825" y="1359646"/>
          <a:ext cx="1352177" cy="35111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FDBE67E9-C027-4C94-9D60-5284718255BE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$ 115.8K</a:t>
          </a:fld>
          <a:endParaRPr lang="en-US" sz="1800" b="1"/>
        </a:p>
      </xdr:txBody>
    </xdr:sp>
    <xdr:clientData/>
  </xdr:twoCellAnchor>
  <xdr:twoCellAnchor editAs="absolute">
    <xdr:from>
      <xdr:col>14</xdr:col>
      <xdr:colOff>3172331</xdr:colOff>
      <xdr:row>7</xdr:row>
      <xdr:rowOff>37354</xdr:rowOff>
    </xdr:from>
    <xdr:to>
      <xdr:col>14</xdr:col>
      <xdr:colOff>4525041</xdr:colOff>
      <xdr:row>9</xdr:row>
      <xdr:rowOff>14941</xdr:rowOff>
    </xdr:to>
    <xdr:sp macro="" textlink="Pivots!C18">
      <xdr:nvSpPr>
        <xdr:cNvPr id="55" name="Rectangle 54"/>
        <xdr:cNvSpPr/>
      </xdr:nvSpPr>
      <xdr:spPr>
        <a:xfrm>
          <a:off x="11288058" y="1344707"/>
          <a:ext cx="1352177" cy="35111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C0DFC1A7-B15B-4E3A-970D-34E2FFB2697A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$67.7K</a:t>
          </a:fld>
          <a:endParaRPr lang="en-US" sz="1800" b="1"/>
        </a:p>
      </xdr:txBody>
    </xdr:sp>
    <xdr:clientData/>
  </xdr:twoCellAnchor>
  <xdr:twoCellAnchor>
    <xdr:from>
      <xdr:col>14</xdr:col>
      <xdr:colOff>10458</xdr:colOff>
      <xdr:row>12</xdr:row>
      <xdr:rowOff>119317</xdr:rowOff>
    </xdr:from>
    <xdr:to>
      <xdr:col>15</xdr:col>
      <xdr:colOff>9073</xdr:colOff>
      <xdr:row>14</xdr:row>
      <xdr:rowOff>154217</xdr:rowOff>
    </xdr:to>
    <xdr:sp macro="" textlink="">
      <xdr:nvSpPr>
        <xdr:cNvPr id="56" name="Rectangle 55"/>
        <xdr:cNvSpPr/>
      </xdr:nvSpPr>
      <xdr:spPr>
        <a:xfrm>
          <a:off x="8074958" y="2296460"/>
          <a:ext cx="4615972" cy="39775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Notification</a:t>
          </a:r>
        </a:p>
      </xdr:txBody>
    </xdr:sp>
    <xdr:clientData/>
  </xdr:twoCellAnchor>
  <xdr:twoCellAnchor>
    <xdr:from>
      <xdr:col>4</xdr:col>
      <xdr:colOff>50800</xdr:colOff>
      <xdr:row>12</xdr:row>
      <xdr:rowOff>117929</xdr:rowOff>
    </xdr:from>
    <xdr:to>
      <xdr:col>9</xdr:col>
      <xdr:colOff>308428</xdr:colOff>
      <xdr:row>22</xdr:row>
      <xdr:rowOff>117928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335643</xdr:colOff>
      <xdr:row>12</xdr:row>
      <xdr:rowOff>117930</xdr:rowOff>
    </xdr:from>
    <xdr:to>
      <xdr:col>13</xdr:col>
      <xdr:colOff>798285</xdr:colOff>
      <xdr:row>22</xdr:row>
      <xdr:rowOff>108857</xdr:rowOff>
    </xdr:to>
    <xdr:graphicFrame macro="">
      <xdr:nvGraphicFramePr>
        <xdr:cNvPr id="58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</xdr:col>
      <xdr:colOff>63501</xdr:colOff>
      <xdr:row>22</xdr:row>
      <xdr:rowOff>154213</xdr:rowOff>
    </xdr:from>
    <xdr:to>
      <xdr:col>13</xdr:col>
      <xdr:colOff>807357</xdr:colOff>
      <xdr:row>30</xdr:row>
      <xdr:rowOff>0</xdr:rowOff>
    </xdr:to>
    <xdr:graphicFrame macro="">
      <xdr:nvGraphicFramePr>
        <xdr:cNvPr id="59" name="Chart 5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231775</xdr:colOff>
      <xdr:row>0</xdr:row>
      <xdr:rowOff>1</xdr:rowOff>
    </xdr:from>
    <xdr:to>
      <xdr:col>10</xdr:col>
      <xdr:colOff>165100</xdr:colOff>
      <xdr:row>9</xdr:row>
      <xdr:rowOff>146051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9</xdr:row>
      <xdr:rowOff>161925</xdr:rowOff>
    </xdr:from>
    <xdr:to>
      <xdr:col>10</xdr:col>
      <xdr:colOff>190500</xdr:colOff>
      <xdr:row>22</xdr:row>
      <xdr:rowOff>107950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111124</xdr:colOff>
      <xdr:row>23</xdr:row>
      <xdr:rowOff>28575</xdr:rowOff>
    </xdr:from>
    <xdr:to>
      <xdr:col>8</xdr:col>
      <xdr:colOff>241299</xdr:colOff>
      <xdr:row>36</xdr:row>
      <xdr:rowOff>6350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NTO" refreshedDate="46175.893295717593" createdVersion="6" refreshedVersion="6" minRefreshableVersion="3" recordCount="13">
  <cacheSource type="worksheet">
    <worksheetSource name="Table5"/>
  </cacheSource>
  <cacheFields count="5">
    <cacheField name="HSN_No" numFmtId="0">
      <sharedItems containsBlank="1"/>
    </cacheField>
    <cacheField name="Prsducts Name" numFmtId="0">
      <sharedItems containsBlank="1"/>
    </cacheField>
    <cacheField name="Sales" numFmtId="0">
      <sharedItems containsString="0" containsBlank="1" containsNumber="1" minValue="7.28" maxValue="1706.184"/>
    </cacheField>
    <cacheField name="Cost " numFmtId="0">
      <sharedItems containsString="0" containsBlank="1" containsNumber="1" minValue="5.3144" maxValue="1620.8748000000001"/>
    </cacheField>
    <cacheField name="Profit" numFmtId="0">
      <sharedItems containsString="0" containsBlank="1" containsNumber="1" minValue="1.9656" maxValue="383.031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ANTO" refreshedDate="46176.843319560183" createdVersion="6" refreshedVersion="6" minRefreshableVersion="3" recordCount="23">
  <cacheSource type="worksheet">
    <worksheetSource name="Table10"/>
  </cacheSource>
  <cacheFields count="8">
    <cacheField name="HSN No" numFmtId="0">
      <sharedItems containsMixedTypes="1" containsNumber="1" containsInteger="1" minValue="0" maxValue="0"/>
    </cacheField>
    <cacheField name="Product Name" numFmtId="0">
      <sharedItems containsMixedTypes="1" containsNumber="1" containsInteger="1" minValue="0" maxValue="0" count="12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n v="0"/>
      </sharedItems>
    </cacheField>
    <cacheField name="Cost" numFmtId="0">
      <sharedItems containsSemiMixedTypes="0" containsString="0" containsNumber="1" minValue="0" maxValue="1706.184"/>
    </cacheField>
    <cacheField name="P Units" numFmtId="0">
      <sharedItems containsSemiMixedTypes="0" containsString="0" containsNumber="1" containsInteger="1" minValue="0" maxValue="68"/>
    </cacheField>
    <cacheField name="S Units" numFmtId="0">
      <sharedItems containsSemiMixedTypes="0" containsString="0" containsNumber="1" containsInteger="1" minValue="0" maxValue="19"/>
    </cacheField>
    <cacheField name="Stock" numFmtId="0">
      <sharedItems containsSemiMixedTypes="0" containsString="0" containsNumber="1" containsInteger="1" minValue="0" maxValue="64"/>
    </cacheField>
    <cacheField name="Stock Amt" numFmtId="0">
      <sharedItems containsSemiMixedTypes="0" containsString="0" containsNumber="1" minValue="0" maxValue="39242.231999999996"/>
    </cacheField>
    <cacheField name="Not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HANTO" refreshedDate="46176.843320370368" createdVersion="6" refreshedVersion="6" minRefreshableVersion="3" recordCount="17">
  <cacheSource type="worksheet">
    <worksheetSource name="Table9"/>
  </cacheSource>
  <cacheFields count="9">
    <cacheField name="Customer Id" numFmtId="0">
      <sharedItems containsString="0" containsBlank="1" containsNumber="1" containsInteger="1" minValue="1" maxValue="10"/>
    </cacheField>
    <cacheField name="Customer Name" numFmtId="0">
      <sharedItems count="6">
        <s v="Michael"/>
        <s v="Camila"/>
        <s v="Chloe"/>
        <s v="Harper"/>
        <s v="Alexander"/>
        <s v=""/>
      </sharedItems>
    </cacheField>
    <cacheField name="HSN No" numFmtId="0">
      <sharedItems containsBlank="1"/>
    </cacheField>
    <cacheField name="Product Name" numFmtId="0">
      <sharedItems/>
    </cacheField>
    <cacheField name="Date" numFmtId="0">
      <sharedItems containsString="0" containsBlank="1" containsNumber="1" containsInteger="1" minValue="46122" maxValue="46129"/>
    </cacheField>
    <cacheField name="Stock(Unit)" numFmtId="0">
      <sharedItems containsSemiMixedTypes="0" containsString="0" containsNumber="1" containsInteger="1" minValue="0" maxValue="20"/>
    </cacheField>
    <cacheField name="Units" numFmtId="0">
      <sharedItems containsString="0" containsBlank="1" containsNumber="1" containsInteger="1" minValue="3" maxValue="7"/>
    </cacheField>
    <cacheField name="Price" numFmtId="0">
      <sharedItems containsMixedTypes="1" containsNumber="1" minValue="7.28" maxValue="957.57749999999999"/>
    </cacheField>
    <cacheField name="Amount" numFmtId="0">
      <sharedItems containsMixedTypes="1" containsNumber="1" minValue="36.4" maxValue="5745.465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HANTO" refreshedDate="46176.84332083333" createdVersion="6" refreshedVersion="6" minRefreshableVersion="3" recordCount="16">
  <cacheSource type="worksheet">
    <worksheetSource name="Table8"/>
  </cacheSource>
  <cacheFields count="7">
    <cacheField name="HSN No" numFmtId="0">
      <sharedItems containsBlank="1"/>
    </cacheField>
    <cacheField name="Products Name" numFmtId="0">
      <sharedItems/>
    </cacheField>
    <cacheField name="Vender " numFmtId="0">
      <sharedItems/>
    </cacheField>
    <cacheField name="Date" numFmtId="14">
      <sharedItems containsNonDate="0" containsDate="1" containsString="0" containsBlank="1" minDate="2026-01-10T00:00:00" maxDate="2026-01-17T00:00:00"/>
    </cacheField>
    <cacheField name="Units" numFmtId="0">
      <sharedItems containsString="0" containsBlank="1" containsNumber="1" containsInteger="1" minValue="23" maxValue="45"/>
    </cacheField>
    <cacheField name="Cost" numFmtId="0">
      <sharedItems containsMixedTypes="1" containsNumber="1" minValue="5.3144" maxValue="816.43680000000006"/>
    </cacheField>
    <cacheField name="Amount" numFmtId="0">
      <sharedItems containsMixedTypes="1" containsNumber="1" minValue="127.54560000000001" maxValue="36739.656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HANTO" refreshedDate="46176.843363194443" createdVersion="6" refreshedVersion="6" minRefreshableVersion="3" recordCount="21">
  <cacheSource type="worksheet">
    <worksheetSource name="Table2"/>
  </cacheSource>
  <cacheFields count="4">
    <cacheField name="Id" numFmtId="0">
      <sharedItems containsSemiMixedTypes="0" containsString="0" containsNumber="1" containsInteger="1" minValue="1" maxValue="21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s v="N001"/>
    <s v="Bookcases"/>
    <n v="261.95999999999998"/>
    <n v="220.04639999999998"/>
    <n v="41.913600000000002"/>
  </r>
  <r>
    <s v="N002"/>
    <s v="Chairs"/>
    <n v="731.94"/>
    <n v="512.35800000000006"/>
    <n v="219.58199999999999"/>
  </r>
  <r>
    <s v="N003"/>
    <s v="Labels"/>
    <n v="14.62"/>
    <n v="7.7485999999999988"/>
    <n v="6.8714000000000004"/>
  </r>
  <r>
    <s v="N004"/>
    <s v="Tables"/>
    <n v="957.57749999999999"/>
    <n v="574.54649999999992"/>
    <n v="383.03100000000001"/>
  </r>
  <r>
    <s v="N005"/>
    <s v="Storage"/>
    <n v="22.367999999999999"/>
    <n v="19.851599999999998"/>
    <n v="2.5164"/>
  </r>
  <r>
    <s v="N006"/>
    <s v="Furnishings"/>
    <n v="48.86"/>
    <n v="34.690600000000003"/>
    <n v="14.1694"/>
  </r>
  <r>
    <s v="N007"/>
    <s v="Art"/>
    <n v="7.28"/>
    <n v="5.3144"/>
    <n v="1.9656"/>
  </r>
  <r>
    <s v="N008"/>
    <s v="Phones"/>
    <n v="907.15200000000004"/>
    <n v="816.43680000000006"/>
    <n v="90.715199999999996"/>
  </r>
  <r>
    <s v="N009"/>
    <s v="Binders"/>
    <n v="18.504000000000001"/>
    <n v="12.721500000000002"/>
    <n v="5.7824999999999998"/>
  </r>
  <r>
    <s v="N010"/>
    <s v="Appliances"/>
    <n v="114.9"/>
    <n v="80.430000000000007"/>
    <n v="34.47"/>
  </r>
  <r>
    <s v="N011"/>
    <s v="Paper"/>
    <n v="1706.184"/>
    <n v="1620.8748000000001"/>
    <n v="85.309200000000004"/>
  </r>
  <r>
    <s v="N012"/>
    <s v="Binders"/>
    <n v="911.42399999999998"/>
    <n v="843.06719999999996"/>
    <n v="68.356800000000007"/>
  </r>
  <r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">
  <r>
    <s v="N001"/>
    <x v="0"/>
    <n v="261.95999999999998"/>
    <n v="23"/>
    <n v="0"/>
    <n v="23"/>
    <n v="6025.08"/>
    <s v=""/>
  </r>
  <r>
    <s v="N002"/>
    <x v="1"/>
    <n v="731.94"/>
    <n v="23"/>
    <n v="0"/>
    <n v="23"/>
    <n v="16834.620000000003"/>
    <s v=""/>
  </r>
  <r>
    <s v="N003"/>
    <x v="2"/>
    <n v="14.62"/>
    <n v="23"/>
    <n v="6"/>
    <n v="17"/>
    <n v="248.54"/>
    <s v=""/>
  </r>
  <r>
    <s v="N004"/>
    <x v="3"/>
    <n v="957.57749999999999"/>
    <n v="23"/>
    <n v="10"/>
    <n v="13"/>
    <n v="12448.5075"/>
    <s v=""/>
  </r>
  <r>
    <s v="N005"/>
    <x v="4"/>
    <n v="22.367999999999999"/>
    <n v="23"/>
    <n v="0"/>
    <n v="23"/>
    <n v="514.46399999999994"/>
    <s v=""/>
  </r>
  <r>
    <s v="N006"/>
    <x v="5"/>
    <n v="48.86"/>
    <n v="23"/>
    <n v="0"/>
    <n v="23"/>
    <n v="1123.78"/>
    <s v=""/>
  </r>
  <r>
    <s v="N007"/>
    <x v="6"/>
    <n v="7.28"/>
    <n v="23"/>
    <n v="19"/>
    <n v="4"/>
    <n v="29.12"/>
    <s v="📞 Art Needs to re-order! PH013#######"/>
  </r>
  <r>
    <s v="N008"/>
    <x v="7"/>
    <n v="907.15200000000004"/>
    <n v="23"/>
    <n v="3"/>
    <n v="20"/>
    <n v="18143.04"/>
    <s v=""/>
  </r>
  <r>
    <s v="N009"/>
    <x v="8"/>
    <n v="18.504000000000001"/>
    <n v="68"/>
    <n v="4"/>
    <n v="64"/>
    <n v="1184.2560000000001"/>
    <s v=""/>
  </r>
  <r>
    <s v="N010"/>
    <x v="9"/>
    <n v="114.9"/>
    <n v="23"/>
    <n v="0"/>
    <n v="23"/>
    <n v="2642.7000000000003"/>
    <s v=""/>
  </r>
  <r>
    <s v="N011"/>
    <x v="10"/>
    <n v="1706.184"/>
    <n v="23"/>
    <n v="0"/>
    <n v="23"/>
    <n v="39242.231999999996"/>
    <s v=""/>
  </r>
  <r>
    <s v="N012"/>
    <x v="8"/>
    <n v="911.42399999999998"/>
    <n v="23"/>
    <n v="4"/>
    <n v="19"/>
    <n v="17317.056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  <r>
    <n v="0"/>
    <x v="11"/>
    <n v="0"/>
    <n v="0"/>
    <n v="0"/>
    <n v="0"/>
    <n v="0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7">
  <r>
    <n v="5"/>
    <x v="0"/>
    <s v="N004"/>
    <s v="Tables"/>
    <n v="46122"/>
    <n v="13"/>
    <n v="6"/>
    <n v="957.57749999999999"/>
    <n v="5745.4650000000001"/>
  </r>
  <r>
    <n v="1"/>
    <x v="1"/>
    <s v="N007"/>
    <s v="Art"/>
    <n v="46123"/>
    <n v="4"/>
    <n v="7"/>
    <n v="7.28"/>
    <n v="50.96"/>
  </r>
  <r>
    <n v="6"/>
    <x v="2"/>
    <s v="N007"/>
    <s v="Art"/>
    <n v="46124"/>
    <n v="4"/>
    <n v="7"/>
    <n v="7.28"/>
    <n v="50.96"/>
  </r>
  <r>
    <n v="6"/>
    <x v="2"/>
    <s v="N007"/>
    <s v="Art"/>
    <n v="46125"/>
    <n v="4"/>
    <n v="5"/>
    <n v="7.28"/>
    <n v="36.4"/>
  </r>
  <r>
    <n v="10"/>
    <x v="3"/>
    <s v="N008"/>
    <s v="Phones"/>
    <n v="46126"/>
    <n v="20"/>
    <n v="3"/>
    <n v="907.15200000000004"/>
    <n v="2721.4560000000001"/>
  </r>
  <r>
    <n v="6"/>
    <x v="2"/>
    <s v="N012"/>
    <s v="Binders"/>
    <n v="46127"/>
    <n v="19"/>
    <n v="4"/>
    <n v="911.42399999999998"/>
    <n v="3645.6959999999999"/>
  </r>
  <r>
    <n v="1"/>
    <x v="1"/>
    <s v="N003"/>
    <s v="Labels"/>
    <n v="46128"/>
    <n v="17"/>
    <n v="6"/>
    <n v="14.62"/>
    <n v="87.72"/>
  </r>
  <r>
    <n v="2"/>
    <x v="4"/>
    <s v="N004"/>
    <s v="Tables"/>
    <n v="46129"/>
    <n v="13"/>
    <n v="4"/>
    <n v="957.57749999999999"/>
    <n v="3830.31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6">
  <r>
    <s v="N003"/>
    <s v="Labels"/>
    <s v="Carter"/>
    <d v="2026-01-10T00:00:00"/>
    <n v="23"/>
    <n v="7.7485999999999988"/>
    <n v="178.21779999999998"/>
  </r>
  <r>
    <s v="N004"/>
    <s v="Tables"/>
    <s v="Mia"/>
    <d v="2026-01-11T00:00:00"/>
    <n v="43"/>
    <n v="574.54649999999992"/>
    <n v="24705.499499999998"/>
  </r>
  <r>
    <s v="N006"/>
    <s v="Furnishings"/>
    <s v="Abigail"/>
    <d v="2026-01-12T00:00:00"/>
    <n v="33"/>
    <n v="34.690600000000003"/>
    <n v="1144.7898"/>
  </r>
  <r>
    <s v="N008"/>
    <s v="Phones"/>
    <s v="William"/>
    <d v="2026-01-13T00:00:00"/>
    <n v="45"/>
    <n v="816.43680000000006"/>
    <n v="36739.656000000003"/>
  </r>
  <r>
    <s v="N005"/>
    <s v="Storage"/>
    <s v="Lucas"/>
    <d v="2026-01-14T00:00:00"/>
    <n v="24"/>
    <n v="19.851599999999998"/>
    <n v="476.43839999999994"/>
  </r>
  <r>
    <s v="N007"/>
    <s v="Art"/>
    <s v="Joseph"/>
    <d v="2026-01-15T00:00:00"/>
    <n v="24"/>
    <n v="5.3144"/>
    <n v="127.54560000000001"/>
  </r>
  <r>
    <s v="N006"/>
    <s v="Furnishings"/>
    <s v="Abigail"/>
    <d v="2026-01-16T00:00:00"/>
    <n v="24"/>
    <n v="34.690600000000003"/>
    <n v="832.57440000000008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1">
  <r>
    <n v="1"/>
    <s v="Camila"/>
    <s v="camila@Gmail.com"/>
    <s v="Mumbai"/>
  </r>
  <r>
    <n v="2"/>
    <s v="Alexander"/>
    <s v="alexander@Gmail.com"/>
    <s v="Mumbai"/>
  </r>
  <r>
    <n v="3"/>
    <s v="Liam"/>
    <s v="liam@Gmail.com"/>
    <s v="Mumbai"/>
  </r>
  <r>
    <n v="4"/>
    <s v="Evelyn"/>
    <s v="evelyn@Gmail.com"/>
    <s v="Kolkata"/>
  </r>
  <r>
    <n v="5"/>
    <s v="Michael"/>
    <s v="michael@Gmail.com"/>
    <s v="Delhi"/>
  </r>
  <r>
    <n v="6"/>
    <s v="Chloe"/>
    <s v="chloe@Gmail.com"/>
    <s v="Bangalore"/>
  </r>
  <r>
    <n v="7"/>
    <s v="Nicholas"/>
    <s v="nicholas@Gmail.com"/>
    <s v="Kolkata"/>
  </r>
  <r>
    <n v="8"/>
    <s v="Olivia"/>
    <s v="olivia@Gmail.com"/>
    <s v="Bangalore"/>
  </r>
  <r>
    <n v="9"/>
    <s v="Aiden"/>
    <s v="aiden@Gmail.com"/>
    <s v="Mumbai"/>
  </r>
  <r>
    <n v="10"/>
    <s v="Harper"/>
    <s v="harper@Gmail.com"/>
    <s v="Chennai"/>
  </r>
  <r>
    <n v="11"/>
    <s v="Madison"/>
    <s v="madison@Gmail.com"/>
    <s v="Kolkata"/>
  </r>
  <r>
    <n v="12"/>
    <s v="Carter"/>
    <s v="carter@Gmail.com"/>
    <s v="Kolkata"/>
  </r>
  <r>
    <n v="13"/>
    <s v="Mia"/>
    <s v="mia@Gmail.com"/>
    <s v="Kolkata"/>
  </r>
  <r>
    <n v="14"/>
    <s v="Lucas"/>
    <s v="lucas@Gmail.com"/>
    <s v="Bangalore"/>
  </r>
  <r>
    <n v="15"/>
    <s v="Abigail"/>
    <s v="abigail@Gmail.com"/>
    <s v="Kolkata"/>
  </r>
  <r>
    <n v="16"/>
    <s v="Joseph"/>
    <s v="joseph@Gmail.com"/>
    <s v="Bangalore"/>
  </r>
  <r>
    <n v="17"/>
    <s v="William"/>
    <s v="william@Gmail.com"/>
    <s v="Bangalore"/>
  </r>
  <r>
    <n v="18"/>
    <s v="Andrew"/>
    <s v="andrew@Gmail.com"/>
    <s v="Chennai"/>
  </r>
  <r>
    <n v="19"/>
    <s v="Sophia"/>
    <s v="sophia@Gmail.com"/>
    <s v="Kolkata"/>
  </r>
  <r>
    <n v="20"/>
    <s v="Avery"/>
    <s v="avery@Gmail.com"/>
    <s v="Chennai"/>
  </r>
  <r>
    <n v="21"/>
    <s v="Lily"/>
    <s v="lily@Gmail.com"/>
    <s v="Chenna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A5" firstHeaderRow="1" firstDataRow="1" firstDataCol="0"/>
  <pivotFields count="5"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Prsducts Name" fld="1" subtotal="count" baseField="0" baseItem="0"/>
  </dataFields>
  <formats count="4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4:B36" firstHeaderRow="1" firstDataRow="1" firstDataCol="1"/>
  <pivotFields count="8">
    <pivotField showAll="0"/>
    <pivotField axis="axisRow" showAll="0">
      <items count="13">
        <item h="1" x="11"/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</pivotFields>
  <rowFields count="1">
    <field x="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tock" fld="5" baseField="0" baseItem="0"/>
  </dataFields>
  <formats count="7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10:F16" firstHeaderRow="1" firstDataRow="1" firstDataCol="1"/>
  <pivotFields count="9">
    <pivotField showAll="0"/>
    <pivotField axis="axisRow" showAll="0" measureFilter="1">
      <items count="7">
        <item x="5"/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8" baseField="0" baseItem="0"/>
  </dataFields>
  <formats count="7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1" count="5">
            <x v="1"/>
            <x v="2"/>
            <x v="3"/>
            <x v="4"/>
            <x v="5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E1:F7" firstHeaderRow="1" firstDataRow="1" firstDataCol="1"/>
  <pivotFields count="8">
    <pivotField showAll="0"/>
    <pivotField axis="axisRow" showAll="0" measureFilter="1" sortType="ascending">
      <items count="13">
        <item x="11"/>
        <item x="9"/>
        <item x="6"/>
        <item x="8"/>
        <item x="0"/>
        <item x="1"/>
        <item x="5"/>
        <item x="2"/>
        <item x="10"/>
        <item x="7"/>
        <item x="4"/>
        <item x="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</pivotFields>
  <rowFields count="1">
    <field x="1"/>
  </rowFields>
  <rowItems count="6">
    <i>
      <x v="2"/>
    </i>
    <i>
      <x v="3"/>
    </i>
    <i>
      <x v="7"/>
    </i>
    <i>
      <x v="9"/>
    </i>
    <i>
      <x v="11"/>
    </i>
    <i t="grand">
      <x/>
    </i>
  </rowItems>
  <colItems count="1">
    <i/>
  </colItems>
  <dataFields count="1">
    <dataField name="Sum of S Units" fld="4" baseField="0" baseItem="0"/>
  </dataFields>
  <formats count="7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dataOnly="0" labelOnly="1" fieldPosition="0">
        <references count="1">
          <reference field="1" count="5">
            <x v="2"/>
            <x v="3"/>
            <x v="7"/>
            <x v="9"/>
            <x v="11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A2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formats count="4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A15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Items count="1">
    <i/>
  </rowItems>
  <colItems count="1">
    <i/>
  </colItems>
  <dataFields count="1">
    <dataField name="Sum of Stock Amt" fld="6" baseField="0" baseItem="0"/>
  </dataFields>
  <formats count="4">
    <format dxfId="11">
      <pivotArea type="all" dataOnly="0" outline="0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formats count="4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A8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F7:I28" totalsRowShown="0">
  <autoFilter ref="F7:I28"/>
  <tableColumns count="4">
    <tableColumn id="1" name="Id"/>
    <tableColumn id="2" name="Name"/>
    <tableColumn id="3" name="Email"/>
    <tableColumn id="4" name="Addres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F8:J21" totalsRowShown="0">
  <autoFilter ref="F8:J21"/>
  <tableColumns count="5">
    <tableColumn id="1" name="HSN_No"/>
    <tableColumn id="2" name="Products Name"/>
    <tableColumn id="3" name="Sales"/>
    <tableColumn id="5" name="Cost ">
      <calculatedColumnFormula>Table5[[#This Row],[Sales]]-Table5[[#This Row],[Profit]]</calculatedColumnFormula>
    </tableColumn>
    <tableColumn id="4" name="Profi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F8:L20" totalsRowShown="0" headerRowDxfId="61" dataDxfId="60">
  <autoFilter ref="F8:L20"/>
  <tableColumns count="7">
    <tableColumn id="1" name="HSN No " dataDxfId="59"/>
    <tableColumn id="2" name="Products Name" dataDxfId="58"/>
    <tableColumn id="3" name="Vendors Name" dataDxfId="57"/>
    <tableColumn id="4" name="City" dataDxfId="56"/>
    <tableColumn id="5" name="State" dataDxfId="55"/>
    <tableColumn id="6" name="Region" dataDxfId="54"/>
    <tableColumn id="7" name="Phone Number" dataDxfId="4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F8:L24" totalsRowShown="0" headerRowDxfId="53" dataDxfId="52">
  <autoFilter ref="F8:L24"/>
  <tableColumns count="7">
    <tableColumn id="1" name="HSN No" dataDxfId="51"/>
    <tableColumn id="2" name="Products Name" dataDxfId="50">
      <calculatedColumnFormula>IFERROR(VLOOKUP(Table8[[#This Row],[HSN No]],Table5[#All],2,0),"")</calculatedColumnFormula>
    </tableColumn>
    <tableColumn id="3" name="Vender " dataDxfId="49">
      <calculatedColumnFormula>IFERROR(VLOOKUP(Table8[[#This Row],[HSN No]],Table7[#All],3,0),"")</calculatedColumnFormula>
    </tableColumn>
    <tableColumn id="4" name="Date" dataDxfId="48"/>
    <tableColumn id="5" name="Units" dataDxfId="47"/>
    <tableColumn id="6" name="Cost" dataDxfId="46">
      <calculatedColumnFormula>IFERROR(VLOOKUP(Table8[[#This Row],[HSN No]],Products!F8:J19,4,0),"")</calculatedColumnFormula>
    </tableColumn>
    <tableColumn id="7" name="Amount" dataDxfId="45">
      <calculatedColumnFormula>IFERROR((Table8[[#This Row],[Units]]*Table8[[#This Row],[Cost]]),"")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F7:N24" totalsRowShown="0">
  <autoFilter ref="F7:N24"/>
  <tableColumns count="9">
    <tableColumn id="1" name="Customer Id"/>
    <tableColumn id="2" name="Customer Name">
      <calculatedColumnFormula>IFERROR(VLOOKUP(Table9[[#This Row],[Customer Id]],Table2[#All],2,0),"")</calculatedColumnFormula>
    </tableColumn>
    <tableColumn id="3" name="HSN No"/>
    <tableColumn id="4" name="Product Name">
      <calculatedColumnFormula>IFERROR(VLOOKUP(Table9[[#This Row],[HSN No]],Table5[#All],2,0),"")</calculatedColumnFormula>
    </tableColumn>
    <tableColumn id="5" name="Date"/>
    <tableColumn id="6" name="Stock(Unit)">
      <calculatedColumnFormula>IFERROR(VLOOKUP(Table9[[#This Row],[HSN No]],Table10[#All],6,0),"")</calculatedColumnFormula>
    </tableColumn>
    <tableColumn id="7" name="Units"/>
    <tableColumn id="8" name="Price">
      <calculatedColumnFormula>IFERROR(VLOOKUP(Table9[[#This Row],[HSN No]],Table5[#All],3,0),"")</calculatedColumnFormula>
    </tableColumn>
    <tableColumn id="9" name="Amount">
      <calculatedColumnFormula>IFERROR((Table9[[#This Row],[Price]]*Table9[[#This Row],[Units]]),"")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10" name="Table10" displayName="Table10" ref="F7:M30" totalsRowShown="0" headerRowDxfId="44" dataDxfId="43">
  <autoFilter ref="F7:M30"/>
  <tableColumns count="8">
    <tableColumn id="1" name="HSN No">
      <calculatedColumnFormula>IFERROR((Products!F9),"")</calculatedColumnFormula>
    </tableColumn>
    <tableColumn id="2" name="Product Name">
      <calculatedColumnFormula>IFERROR((Products!G9),"")</calculatedColumnFormula>
    </tableColumn>
    <tableColumn id="7" name="Cost">
      <calculatedColumnFormula>IFERROR((Products!H9),"")</calculatedColumnFormula>
    </tableColumn>
    <tableColumn id="3" name="P Units">
      <calculatedColumnFormula>SUMIF(Products!G9:G20,Inventory!G8:G19,Table8[Units])</calculatedColumnFormula>
    </tableColumn>
    <tableColumn id="4" name="S Units">
      <calculatedColumnFormula>SUMIF(Table9[Product Name],Table10[[#This Row],[Product Name]],Table9[Units])</calculatedColumnFormula>
    </tableColumn>
    <tableColumn id="5" name="Stock">
      <calculatedColumnFormula>Table10[[#This Row],[P Units]]-Table10[[#This Row],[S Units]]</calculatedColumnFormula>
    </tableColumn>
    <tableColumn id="6" name="Stock Amt">
      <calculatedColumnFormula>Table10[[#This Row],[Cost]]*Table10[[#This Row],[Stock]]</calculatedColumnFormula>
    </tableColumn>
    <tableColumn id="8" name="Notification" dataDxfId="41">
      <calculatedColumnFormula>IFERROR(IF(Table10[[#This Row],[Stock]]&lt;10,"📞 "&amp;Table10[[#This Row],[Product Name]]&amp;" Needs to re-order! PH"&amp;VLOOKUP(Table10[[#This Row],[HSN No]],Vendors!F7:L21,7,0),""),"")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livia@Gmail.com" TargetMode="External"/><Relationship Id="rId13" Type="http://schemas.openxmlformats.org/officeDocument/2006/relationships/hyperlink" Target="mailto:mia@Gmail.com" TargetMode="External"/><Relationship Id="rId18" Type="http://schemas.openxmlformats.org/officeDocument/2006/relationships/hyperlink" Target="mailto:andrew@Gmail.com" TargetMode="External"/><Relationship Id="rId3" Type="http://schemas.openxmlformats.org/officeDocument/2006/relationships/hyperlink" Target="mailto:liam@Gmail.com" TargetMode="External"/><Relationship Id="rId21" Type="http://schemas.openxmlformats.org/officeDocument/2006/relationships/hyperlink" Target="mailto:lily@Gmail.com" TargetMode="External"/><Relationship Id="rId7" Type="http://schemas.openxmlformats.org/officeDocument/2006/relationships/hyperlink" Target="mailto:nicholas@Gmail.com" TargetMode="External"/><Relationship Id="rId12" Type="http://schemas.openxmlformats.org/officeDocument/2006/relationships/hyperlink" Target="mailto:carter@Gmail.com" TargetMode="External"/><Relationship Id="rId17" Type="http://schemas.openxmlformats.org/officeDocument/2006/relationships/hyperlink" Target="mailto:william@Gmail.com" TargetMode="External"/><Relationship Id="rId2" Type="http://schemas.openxmlformats.org/officeDocument/2006/relationships/hyperlink" Target="mailto:alexander@Gmail.com" TargetMode="External"/><Relationship Id="rId16" Type="http://schemas.openxmlformats.org/officeDocument/2006/relationships/hyperlink" Target="mailto:joseph@Gmail.com" TargetMode="External"/><Relationship Id="rId20" Type="http://schemas.openxmlformats.org/officeDocument/2006/relationships/hyperlink" Target="mailto:avery@Gmail.com" TargetMode="External"/><Relationship Id="rId1" Type="http://schemas.openxmlformats.org/officeDocument/2006/relationships/hyperlink" Target="mailto:camila@Gmail.com" TargetMode="External"/><Relationship Id="rId6" Type="http://schemas.openxmlformats.org/officeDocument/2006/relationships/hyperlink" Target="mailto:chloe@Gmail.com" TargetMode="External"/><Relationship Id="rId11" Type="http://schemas.openxmlformats.org/officeDocument/2006/relationships/hyperlink" Target="mailto:madison@Gmail.com" TargetMode="External"/><Relationship Id="rId5" Type="http://schemas.openxmlformats.org/officeDocument/2006/relationships/hyperlink" Target="mailto:michael@Gmail.com" TargetMode="External"/><Relationship Id="rId15" Type="http://schemas.openxmlformats.org/officeDocument/2006/relationships/hyperlink" Target="mailto:abigail@Gmail.com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mailto:harper@Gmail.com" TargetMode="External"/><Relationship Id="rId19" Type="http://schemas.openxmlformats.org/officeDocument/2006/relationships/hyperlink" Target="mailto:sophia@Gmail.com" TargetMode="External"/><Relationship Id="rId4" Type="http://schemas.openxmlformats.org/officeDocument/2006/relationships/hyperlink" Target="mailto:evelyn@Gmail.com" TargetMode="External"/><Relationship Id="rId9" Type="http://schemas.openxmlformats.org/officeDocument/2006/relationships/hyperlink" Target="mailto:aiden@Gmail.com" TargetMode="External"/><Relationship Id="rId14" Type="http://schemas.openxmlformats.org/officeDocument/2006/relationships/hyperlink" Target="mailto:lucas@Gmail.com" TargetMode="External"/><Relationship Id="rId2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9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4"/>
  <sheetViews>
    <sheetView showGridLines="0" showRowColHeaders="0" zoomScaleNormal="100" workbookViewId="0">
      <selection activeCell="F22" sqref="F22"/>
    </sheetView>
  </sheetViews>
  <sheetFormatPr defaultRowHeight="14.5" x14ac:dyDescent="0.35"/>
  <cols>
    <col min="1" max="1" width="4.90625" style="11" customWidth="1"/>
    <col min="2" max="3" width="8.7265625" style="11"/>
    <col min="4" max="4" width="8.7265625" style="11" customWidth="1"/>
    <col min="5" max="5" width="8.7265625" style="11"/>
    <col min="6" max="6" width="8.7265625" style="13"/>
    <col min="7" max="7" width="16.7265625" style="11" customWidth="1"/>
    <col min="8" max="8" width="27.90625" style="11" customWidth="1"/>
    <col min="9" max="9" width="16.81640625" style="11" customWidth="1"/>
    <col min="10" max="12" width="8.7265625" style="11"/>
    <col min="13" max="13" width="9.54296875" style="11" customWidth="1"/>
    <col min="14" max="18" width="8.7265625" style="11"/>
    <col min="19" max="19" width="8.7265625" style="11" customWidth="1"/>
    <col min="20" max="16384" width="8.7265625" style="11"/>
  </cols>
  <sheetData>
    <row r="1" spans="1:10" x14ac:dyDescent="0.35">
      <c r="A1" s="9"/>
      <c r="B1" s="9"/>
      <c r="C1" s="9"/>
      <c r="D1" s="9"/>
      <c r="E1" s="9"/>
      <c r="F1" s="10"/>
      <c r="G1" s="9"/>
      <c r="H1" s="9"/>
      <c r="I1" s="9"/>
      <c r="J1" s="9"/>
    </row>
    <row r="2" spans="1:10" x14ac:dyDescent="0.35">
      <c r="A2" s="9"/>
      <c r="B2" s="9"/>
      <c r="C2" s="9"/>
      <c r="D2" s="9"/>
      <c r="E2" s="9"/>
      <c r="F2" s="10"/>
      <c r="G2" s="9"/>
      <c r="H2" s="9"/>
      <c r="I2" s="9"/>
      <c r="J2" s="9"/>
    </row>
    <row r="3" spans="1:10" x14ac:dyDescent="0.35">
      <c r="A3" s="9"/>
      <c r="B3" s="9"/>
      <c r="C3" s="9"/>
      <c r="D3" s="9"/>
      <c r="E3" s="9"/>
      <c r="F3" s="10"/>
      <c r="G3" s="9"/>
      <c r="H3" s="9"/>
      <c r="I3" s="9"/>
      <c r="J3" s="9"/>
    </row>
    <row r="4" spans="1:10" x14ac:dyDescent="0.35">
      <c r="A4" s="9"/>
      <c r="B4" s="9"/>
      <c r="C4" s="9"/>
      <c r="D4" s="9"/>
      <c r="E4" s="9"/>
      <c r="F4" s="10"/>
      <c r="G4" s="9"/>
      <c r="H4" s="9"/>
      <c r="I4" s="9"/>
      <c r="J4" s="9"/>
    </row>
    <row r="5" spans="1:10" x14ac:dyDescent="0.35">
      <c r="A5" s="9"/>
      <c r="B5" s="9"/>
      <c r="C5" s="9"/>
      <c r="D5" s="9"/>
      <c r="E5" s="9"/>
      <c r="F5" s="10"/>
      <c r="G5" s="9"/>
      <c r="H5" s="9"/>
      <c r="I5" s="9"/>
      <c r="J5" s="9"/>
    </row>
    <row r="6" spans="1:10" x14ac:dyDescent="0.35">
      <c r="A6" s="9"/>
      <c r="B6" s="9"/>
      <c r="C6" s="9"/>
      <c r="D6" s="9"/>
      <c r="E6" s="9"/>
      <c r="F6" s="10"/>
      <c r="G6" s="9"/>
      <c r="H6" s="9"/>
      <c r="I6" s="9"/>
      <c r="J6" s="9"/>
    </row>
    <row r="7" spans="1:10" x14ac:dyDescent="0.35">
      <c r="A7" s="9"/>
      <c r="B7" s="9"/>
      <c r="C7" s="9"/>
      <c r="D7" s="9"/>
      <c r="E7" s="9"/>
      <c r="F7" s="12" t="s">
        <v>0</v>
      </c>
      <c r="G7" s="12" t="s">
        <v>22</v>
      </c>
      <c r="H7" s="12" t="s">
        <v>23</v>
      </c>
      <c r="I7" s="12" t="s">
        <v>24</v>
      </c>
      <c r="J7" s="9"/>
    </row>
    <row r="8" spans="1:10" x14ac:dyDescent="0.35">
      <c r="A8" s="9"/>
      <c r="B8" s="9"/>
      <c r="C8" s="9"/>
      <c r="D8" s="9"/>
      <c r="E8" s="9"/>
      <c r="F8" s="12">
        <v>1</v>
      </c>
      <c r="G8" s="12" t="s">
        <v>1</v>
      </c>
      <c r="H8" s="12" t="s">
        <v>25</v>
      </c>
      <c r="I8" s="12" t="s">
        <v>47</v>
      </c>
      <c r="J8" s="9"/>
    </row>
    <row r="9" spans="1:10" x14ac:dyDescent="0.35">
      <c r="A9" s="9"/>
      <c r="B9" s="9"/>
      <c r="C9" s="9"/>
      <c r="D9" s="9"/>
      <c r="E9" s="9"/>
      <c r="F9" s="12">
        <v>2</v>
      </c>
      <c r="G9" s="12" t="s">
        <v>2</v>
      </c>
      <c r="H9" s="12" t="s">
        <v>26</v>
      </c>
      <c r="I9" s="12" t="s">
        <v>47</v>
      </c>
      <c r="J9" s="9"/>
    </row>
    <row r="10" spans="1:10" x14ac:dyDescent="0.35">
      <c r="A10" s="9"/>
      <c r="B10" s="9"/>
      <c r="C10" s="9"/>
      <c r="D10" s="9"/>
      <c r="E10" s="9"/>
      <c r="F10" s="12">
        <v>3</v>
      </c>
      <c r="G10" s="12" t="s">
        <v>3</v>
      </c>
      <c r="H10" s="12" t="s">
        <v>27</v>
      </c>
      <c r="I10" s="12" t="s">
        <v>47</v>
      </c>
      <c r="J10" s="9"/>
    </row>
    <row r="11" spans="1:10" x14ac:dyDescent="0.35">
      <c r="A11" s="9"/>
      <c r="B11" s="9"/>
      <c r="C11" s="9"/>
      <c r="D11" s="9"/>
      <c r="E11" s="9"/>
      <c r="F11" s="12">
        <v>4</v>
      </c>
      <c r="G11" s="12" t="s">
        <v>4</v>
      </c>
      <c r="H11" s="12" t="s">
        <v>28</v>
      </c>
      <c r="I11" s="12" t="s">
        <v>48</v>
      </c>
      <c r="J11" s="9"/>
    </row>
    <row r="12" spans="1:10" x14ac:dyDescent="0.35">
      <c r="A12" s="9"/>
      <c r="B12" s="9"/>
      <c r="C12" s="9"/>
      <c r="D12" s="9"/>
      <c r="E12" s="9"/>
      <c r="F12" s="12">
        <v>5</v>
      </c>
      <c r="G12" s="12" t="s">
        <v>5</v>
      </c>
      <c r="H12" s="12" t="s">
        <v>29</v>
      </c>
      <c r="I12" s="12" t="s">
        <v>49</v>
      </c>
      <c r="J12" s="9"/>
    </row>
    <row r="13" spans="1:10" x14ac:dyDescent="0.35">
      <c r="A13" s="9"/>
      <c r="B13" s="9"/>
      <c r="C13" s="9"/>
      <c r="D13" s="9"/>
      <c r="E13" s="9"/>
      <c r="F13" s="12">
        <v>6</v>
      </c>
      <c r="G13" s="12" t="s">
        <v>6</v>
      </c>
      <c r="H13" s="12" t="s">
        <v>30</v>
      </c>
      <c r="I13" s="12" t="s">
        <v>50</v>
      </c>
      <c r="J13" s="9"/>
    </row>
    <row r="14" spans="1:10" x14ac:dyDescent="0.35">
      <c r="A14" s="9"/>
      <c r="B14" s="9"/>
      <c r="C14" s="9"/>
      <c r="D14" s="9"/>
      <c r="E14" s="9"/>
      <c r="F14" s="12">
        <v>7</v>
      </c>
      <c r="G14" s="12" t="s">
        <v>7</v>
      </c>
      <c r="H14" s="12" t="s">
        <v>31</v>
      </c>
      <c r="I14" s="12" t="s">
        <v>48</v>
      </c>
      <c r="J14" s="9"/>
    </row>
    <row r="15" spans="1:10" x14ac:dyDescent="0.35">
      <c r="A15" s="9"/>
      <c r="B15" s="9"/>
      <c r="C15" s="9"/>
      <c r="D15" s="9"/>
      <c r="E15" s="9"/>
      <c r="F15" s="12">
        <v>8</v>
      </c>
      <c r="G15" s="12" t="s">
        <v>8</v>
      </c>
      <c r="H15" s="12" t="s">
        <v>32</v>
      </c>
      <c r="I15" s="12" t="s">
        <v>50</v>
      </c>
      <c r="J15" s="9"/>
    </row>
    <row r="16" spans="1:10" x14ac:dyDescent="0.35">
      <c r="A16" s="9"/>
      <c r="B16" s="9"/>
      <c r="C16" s="9"/>
      <c r="D16" s="9"/>
      <c r="E16" s="9"/>
      <c r="F16" s="12">
        <v>9</v>
      </c>
      <c r="G16" s="12" t="s">
        <v>9</v>
      </c>
      <c r="H16" s="12" t="s">
        <v>33</v>
      </c>
      <c r="I16" s="12" t="s">
        <v>47</v>
      </c>
      <c r="J16" s="9"/>
    </row>
    <row r="17" spans="1:10" x14ac:dyDescent="0.35">
      <c r="A17" s="9"/>
      <c r="B17" s="9"/>
      <c r="C17" s="9"/>
      <c r="D17" s="9"/>
      <c r="E17" s="9"/>
      <c r="F17" s="12">
        <v>10</v>
      </c>
      <c r="G17" s="12" t="s">
        <v>10</v>
      </c>
      <c r="H17" s="12" t="s">
        <v>34</v>
      </c>
      <c r="I17" s="12" t="s">
        <v>51</v>
      </c>
      <c r="J17" s="9"/>
    </row>
    <row r="18" spans="1:10" x14ac:dyDescent="0.35">
      <c r="A18" s="9"/>
      <c r="B18" s="9"/>
      <c r="C18" s="9"/>
      <c r="D18" s="9"/>
      <c r="E18" s="9"/>
      <c r="F18" s="12">
        <v>11</v>
      </c>
      <c r="G18" s="12" t="s">
        <v>11</v>
      </c>
      <c r="H18" s="12" t="s">
        <v>35</v>
      </c>
      <c r="I18" s="12" t="s">
        <v>48</v>
      </c>
      <c r="J18" s="9"/>
    </row>
    <row r="19" spans="1:10" x14ac:dyDescent="0.35">
      <c r="A19" s="9"/>
      <c r="B19" s="9"/>
      <c r="C19" s="9"/>
      <c r="D19" s="9"/>
      <c r="E19" s="9"/>
      <c r="F19" s="12">
        <v>12</v>
      </c>
      <c r="G19" s="12" t="s">
        <v>12</v>
      </c>
      <c r="H19" s="12" t="s">
        <v>36</v>
      </c>
      <c r="I19" s="12" t="s">
        <v>48</v>
      </c>
      <c r="J19" s="9"/>
    </row>
    <row r="20" spans="1:10" x14ac:dyDescent="0.35">
      <c r="A20" s="9"/>
      <c r="B20" s="9"/>
      <c r="C20" s="9"/>
      <c r="D20" s="9"/>
      <c r="E20" s="9"/>
      <c r="F20" s="12">
        <v>13</v>
      </c>
      <c r="G20" s="12" t="s">
        <v>13</v>
      </c>
      <c r="H20" s="12" t="s">
        <v>37</v>
      </c>
      <c r="I20" s="12" t="s">
        <v>48</v>
      </c>
      <c r="J20" s="9"/>
    </row>
    <row r="21" spans="1:10" x14ac:dyDescent="0.35">
      <c r="A21" s="9"/>
      <c r="B21" s="9"/>
      <c r="C21" s="9"/>
      <c r="D21" s="9"/>
      <c r="E21" s="9"/>
      <c r="F21" s="12">
        <v>14</v>
      </c>
      <c r="G21" s="12" t="s">
        <v>14</v>
      </c>
      <c r="H21" s="12" t="s">
        <v>38</v>
      </c>
      <c r="I21" s="12" t="s">
        <v>50</v>
      </c>
      <c r="J21" s="9"/>
    </row>
    <row r="22" spans="1:10" x14ac:dyDescent="0.35">
      <c r="A22" s="9"/>
      <c r="B22" s="9"/>
      <c r="C22" s="9"/>
      <c r="D22" s="9"/>
      <c r="E22" s="9"/>
      <c r="F22" s="12">
        <v>15</v>
      </c>
      <c r="G22" s="12" t="s">
        <v>15</v>
      </c>
      <c r="H22" s="12" t="s">
        <v>39</v>
      </c>
      <c r="I22" s="12" t="s">
        <v>48</v>
      </c>
      <c r="J22" s="9"/>
    </row>
    <row r="23" spans="1:10" x14ac:dyDescent="0.35">
      <c r="A23" s="9"/>
      <c r="B23" s="9"/>
      <c r="C23" s="9"/>
      <c r="D23" s="9"/>
      <c r="E23" s="9"/>
      <c r="F23" s="12">
        <v>16</v>
      </c>
      <c r="G23" s="12" t="s">
        <v>16</v>
      </c>
      <c r="H23" s="12" t="s">
        <v>40</v>
      </c>
      <c r="I23" s="12" t="s">
        <v>50</v>
      </c>
      <c r="J23" s="9"/>
    </row>
    <row r="24" spans="1:10" x14ac:dyDescent="0.35">
      <c r="A24" s="9"/>
      <c r="B24" s="9"/>
      <c r="C24" s="9"/>
      <c r="D24" s="9"/>
      <c r="E24" s="9"/>
      <c r="F24" s="12">
        <v>17</v>
      </c>
      <c r="G24" s="12" t="s">
        <v>17</v>
      </c>
      <c r="H24" s="12" t="s">
        <v>41</v>
      </c>
      <c r="I24" s="12" t="s">
        <v>50</v>
      </c>
      <c r="J24" s="9"/>
    </row>
    <row r="25" spans="1:10" x14ac:dyDescent="0.35">
      <c r="A25" s="9"/>
      <c r="B25" s="9"/>
      <c r="C25" s="9"/>
      <c r="D25" s="9"/>
      <c r="E25" s="9"/>
      <c r="F25" s="12">
        <v>18</v>
      </c>
      <c r="G25" s="12" t="s">
        <v>18</v>
      </c>
      <c r="H25" s="12" t="s">
        <v>42</v>
      </c>
      <c r="I25" s="12" t="s">
        <v>51</v>
      </c>
      <c r="J25" s="9"/>
    </row>
    <row r="26" spans="1:10" x14ac:dyDescent="0.35">
      <c r="A26" s="9"/>
      <c r="B26" s="9"/>
      <c r="C26" s="9"/>
      <c r="D26" s="9"/>
      <c r="E26" s="9"/>
      <c r="F26" s="12">
        <v>19</v>
      </c>
      <c r="G26" s="12" t="s">
        <v>19</v>
      </c>
      <c r="H26" s="12" t="s">
        <v>43</v>
      </c>
      <c r="I26" s="12" t="s">
        <v>48</v>
      </c>
      <c r="J26" s="9"/>
    </row>
    <row r="27" spans="1:10" x14ac:dyDescent="0.35">
      <c r="A27" s="9"/>
      <c r="B27" s="9"/>
      <c r="C27" s="9"/>
      <c r="D27" s="9"/>
      <c r="E27" s="9"/>
      <c r="F27" s="12">
        <v>20</v>
      </c>
      <c r="G27" s="12" t="s">
        <v>20</v>
      </c>
      <c r="H27" s="12" t="s">
        <v>44</v>
      </c>
      <c r="I27" s="12" t="s">
        <v>51</v>
      </c>
      <c r="J27" s="9"/>
    </row>
    <row r="28" spans="1:10" x14ac:dyDescent="0.35">
      <c r="A28" s="9"/>
      <c r="B28" s="9"/>
      <c r="C28" s="9"/>
      <c r="D28" s="9"/>
      <c r="E28" s="9"/>
      <c r="F28" s="12">
        <v>21</v>
      </c>
      <c r="G28" s="12" t="s">
        <v>21</v>
      </c>
      <c r="H28" s="12" t="s">
        <v>45</v>
      </c>
      <c r="I28" s="12" t="s">
        <v>51</v>
      </c>
      <c r="J28" s="9"/>
    </row>
    <row r="29" spans="1:10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spans="1:10" x14ac:dyDescent="0.35">
      <c r="F32" s="11"/>
    </row>
    <row r="33" spans="6:6" x14ac:dyDescent="0.35">
      <c r="F33" s="11"/>
    </row>
    <row r="34" spans="6:6" x14ac:dyDescent="0.35">
      <c r="F34" s="11"/>
    </row>
    <row r="35" spans="6:6" x14ac:dyDescent="0.35">
      <c r="F35" s="11"/>
    </row>
    <row r="36" spans="6:6" x14ac:dyDescent="0.35">
      <c r="F36" s="11"/>
    </row>
    <row r="37" spans="6:6" x14ac:dyDescent="0.35">
      <c r="F37" s="11"/>
    </row>
    <row r="38" spans="6:6" x14ac:dyDescent="0.35">
      <c r="F38" s="11"/>
    </row>
    <row r="39" spans="6:6" x14ac:dyDescent="0.35">
      <c r="F39" s="11"/>
    </row>
    <row r="40" spans="6:6" x14ac:dyDescent="0.35">
      <c r="F40" s="11"/>
    </row>
    <row r="41" spans="6:6" x14ac:dyDescent="0.35">
      <c r="F41" s="11"/>
    </row>
    <row r="42" spans="6:6" x14ac:dyDescent="0.35">
      <c r="F42" s="11"/>
    </row>
    <row r="43" spans="6:6" x14ac:dyDescent="0.35">
      <c r="F43" s="11"/>
    </row>
    <row r="44" spans="6:6" x14ac:dyDescent="0.35">
      <c r="F44" s="11"/>
    </row>
    <row r="45" spans="6:6" x14ac:dyDescent="0.35">
      <c r="F45" s="11"/>
    </row>
    <row r="46" spans="6:6" x14ac:dyDescent="0.35">
      <c r="F46" s="11"/>
    </row>
    <row r="47" spans="6:6" x14ac:dyDescent="0.35">
      <c r="F47" s="11"/>
    </row>
    <row r="48" spans="6:6" x14ac:dyDescent="0.35">
      <c r="F48" s="11"/>
    </row>
    <row r="49" spans="6:6" x14ac:dyDescent="0.35">
      <c r="F49" s="11"/>
    </row>
    <row r="50" spans="6:6" x14ac:dyDescent="0.35">
      <c r="F50" s="11"/>
    </row>
    <row r="51" spans="6:6" x14ac:dyDescent="0.35">
      <c r="F51" s="11"/>
    </row>
    <row r="52" spans="6:6" x14ac:dyDescent="0.35">
      <c r="F52" s="11"/>
    </row>
    <row r="53" spans="6:6" x14ac:dyDescent="0.35">
      <c r="F53" s="11"/>
    </row>
    <row r="54" spans="6:6" x14ac:dyDescent="0.35">
      <c r="F54" s="11"/>
    </row>
    <row r="55" spans="6:6" x14ac:dyDescent="0.35">
      <c r="F55" s="11"/>
    </row>
    <row r="56" spans="6:6" x14ac:dyDescent="0.35">
      <c r="F56" s="11"/>
    </row>
    <row r="57" spans="6:6" x14ac:dyDescent="0.35">
      <c r="F57" s="11"/>
    </row>
    <row r="58" spans="6:6" x14ac:dyDescent="0.35">
      <c r="F58" s="11"/>
    </row>
    <row r="59" spans="6:6" x14ac:dyDescent="0.35">
      <c r="F59" s="11"/>
    </row>
    <row r="60" spans="6:6" x14ac:dyDescent="0.35">
      <c r="F60" s="11"/>
    </row>
    <row r="61" spans="6:6" x14ac:dyDescent="0.35">
      <c r="F61" s="11"/>
    </row>
    <row r="62" spans="6:6" x14ac:dyDescent="0.35">
      <c r="F62" s="11"/>
    </row>
    <row r="63" spans="6:6" x14ac:dyDescent="0.35">
      <c r="F63" s="11"/>
    </row>
    <row r="64" spans="6:6" x14ac:dyDescent="0.35">
      <c r="F64" s="11"/>
    </row>
    <row r="65" spans="6:6" x14ac:dyDescent="0.35">
      <c r="F65" s="11"/>
    </row>
    <row r="66" spans="6:6" x14ac:dyDescent="0.35">
      <c r="F66" s="11"/>
    </row>
    <row r="67" spans="6:6" x14ac:dyDescent="0.35">
      <c r="F67" s="11"/>
    </row>
    <row r="68" spans="6:6" x14ac:dyDescent="0.35">
      <c r="F68" s="11"/>
    </row>
    <row r="69" spans="6:6" x14ac:dyDescent="0.35">
      <c r="F69" s="11"/>
    </row>
    <row r="70" spans="6:6" x14ac:dyDescent="0.35">
      <c r="F70" s="11"/>
    </row>
    <row r="71" spans="6:6" x14ac:dyDescent="0.35">
      <c r="F71" s="11"/>
    </row>
    <row r="72" spans="6:6" x14ac:dyDescent="0.35">
      <c r="F72" s="11"/>
    </row>
    <row r="73" spans="6:6" x14ac:dyDescent="0.35">
      <c r="F73" s="11"/>
    </row>
    <row r="74" spans="6:6" x14ac:dyDescent="0.35">
      <c r="F74" s="11"/>
    </row>
    <row r="75" spans="6:6" x14ac:dyDescent="0.35">
      <c r="F75" s="11"/>
    </row>
    <row r="76" spans="6:6" x14ac:dyDescent="0.35">
      <c r="F76" s="11"/>
    </row>
    <row r="77" spans="6:6" x14ac:dyDescent="0.35">
      <c r="F77" s="11"/>
    </row>
    <row r="78" spans="6:6" x14ac:dyDescent="0.35">
      <c r="F78" s="11"/>
    </row>
    <row r="79" spans="6:6" x14ac:dyDescent="0.35">
      <c r="F79" s="11"/>
    </row>
    <row r="80" spans="6:6" x14ac:dyDescent="0.35">
      <c r="F80" s="11"/>
    </row>
    <row r="81" spans="6:6" x14ac:dyDescent="0.35">
      <c r="F81" s="11"/>
    </row>
    <row r="82" spans="6:6" x14ac:dyDescent="0.35">
      <c r="F82" s="11"/>
    </row>
    <row r="83" spans="6:6" x14ac:dyDescent="0.35">
      <c r="F83" s="11"/>
    </row>
    <row r="84" spans="6:6" x14ac:dyDescent="0.35">
      <c r="F84" s="11"/>
    </row>
    <row r="85" spans="6:6" x14ac:dyDescent="0.35">
      <c r="F85" s="11"/>
    </row>
    <row r="86" spans="6:6" x14ac:dyDescent="0.35">
      <c r="F86" s="11"/>
    </row>
    <row r="87" spans="6:6" x14ac:dyDescent="0.35">
      <c r="F87" s="11"/>
    </row>
    <row r="88" spans="6:6" x14ac:dyDescent="0.35">
      <c r="F88" s="11"/>
    </row>
    <row r="89" spans="6:6" x14ac:dyDescent="0.35">
      <c r="F89" s="11"/>
    </row>
    <row r="90" spans="6:6" x14ac:dyDescent="0.35">
      <c r="F90" s="11"/>
    </row>
    <row r="91" spans="6:6" x14ac:dyDescent="0.35">
      <c r="F91" s="11"/>
    </row>
    <row r="92" spans="6:6" x14ac:dyDescent="0.35">
      <c r="F92" s="11"/>
    </row>
    <row r="93" spans="6:6" x14ac:dyDescent="0.35">
      <c r="F93" s="11"/>
    </row>
    <row r="94" spans="6:6" x14ac:dyDescent="0.35">
      <c r="F94" s="11"/>
    </row>
    <row r="95" spans="6:6" x14ac:dyDescent="0.35">
      <c r="F95" s="11"/>
    </row>
    <row r="96" spans="6:6" x14ac:dyDescent="0.35">
      <c r="F96" s="11"/>
    </row>
    <row r="97" spans="6:6" x14ac:dyDescent="0.35">
      <c r="F97" s="11"/>
    </row>
    <row r="98" spans="6:6" x14ac:dyDescent="0.35">
      <c r="F98" s="11"/>
    </row>
    <row r="99" spans="6:6" x14ac:dyDescent="0.35">
      <c r="F99" s="11"/>
    </row>
    <row r="100" spans="6:6" x14ac:dyDescent="0.35">
      <c r="F100" s="11"/>
    </row>
    <row r="101" spans="6:6" x14ac:dyDescent="0.35">
      <c r="F101" s="11"/>
    </row>
    <row r="102" spans="6:6" x14ac:dyDescent="0.35">
      <c r="F102" s="11"/>
    </row>
    <row r="103" spans="6:6" x14ac:dyDescent="0.35">
      <c r="F103" s="11"/>
    </row>
    <row r="104" spans="6:6" x14ac:dyDescent="0.35">
      <c r="F104" s="11"/>
    </row>
    <row r="105" spans="6:6" x14ac:dyDescent="0.35">
      <c r="F105" s="11"/>
    </row>
    <row r="106" spans="6:6" x14ac:dyDescent="0.35">
      <c r="F106" s="11"/>
    </row>
    <row r="107" spans="6:6" x14ac:dyDescent="0.35">
      <c r="F107" s="11"/>
    </row>
    <row r="108" spans="6:6" x14ac:dyDescent="0.35">
      <c r="F108" s="11"/>
    </row>
    <row r="109" spans="6:6" x14ac:dyDescent="0.35">
      <c r="F109" s="11"/>
    </row>
    <row r="110" spans="6:6" x14ac:dyDescent="0.35">
      <c r="F110" s="11"/>
    </row>
    <row r="111" spans="6:6" x14ac:dyDescent="0.35">
      <c r="F111" s="11"/>
    </row>
    <row r="112" spans="6:6" x14ac:dyDescent="0.35">
      <c r="F112" s="11"/>
    </row>
    <row r="113" spans="6:6" x14ac:dyDescent="0.35">
      <c r="F113" s="11"/>
    </row>
    <row r="114" spans="6:6" x14ac:dyDescent="0.35">
      <c r="F114" s="11"/>
    </row>
    <row r="115" spans="6:6" x14ac:dyDescent="0.35">
      <c r="F115" s="11"/>
    </row>
    <row r="116" spans="6:6" x14ac:dyDescent="0.35">
      <c r="F116" s="11"/>
    </row>
    <row r="117" spans="6:6" x14ac:dyDescent="0.35">
      <c r="F117" s="11"/>
    </row>
    <row r="118" spans="6:6" x14ac:dyDescent="0.35">
      <c r="F118" s="11"/>
    </row>
    <row r="119" spans="6:6" x14ac:dyDescent="0.35">
      <c r="F119" s="11"/>
    </row>
    <row r="120" spans="6:6" x14ac:dyDescent="0.35">
      <c r="F120" s="11"/>
    </row>
    <row r="121" spans="6:6" x14ac:dyDescent="0.35">
      <c r="F121" s="11"/>
    </row>
    <row r="122" spans="6:6" x14ac:dyDescent="0.35">
      <c r="F122" s="11"/>
    </row>
    <row r="123" spans="6:6" x14ac:dyDescent="0.35">
      <c r="F123" s="11"/>
    </row>
    <row r="124" spans="6:6" x14ac:dyDescent="0.35">
      <c r="F124" s="11"/>
    </row>
    <row r="125" spans="6:6" x14ac:dyDescent="0.35">
      <c r="F125" s="11"/>
    </row>
    <row r="126" spans="6:6" x14ac:dyDescent="0.35">
      <c r="F126" s="11"/>
    </row>
    <row r="127" spans="6:6" x14ac:dyDescent="0.35">
      <c r="F127" s="11"/>
    </row>
    <row r="128" spans="6:6" x14ac:dyDescent="0.35">
      <c r="F128" s="11"/>
    </row>
    <row r="129" spans="6:6" x14ac:dyDescent="0.35">
      <c r="F129" s="11"/>
    </row>
    <row r="130" spans="6:6" x14ac:dyDescent="0.35">
      <c r="F130" s="11"/>
    </row>
    <row r="131" spans="6:6" x14ac:dyDescent="0.35">
      <c r="F131" s="11"/>
    </row>
    <row r="132" spans="6:6" x14ac:dyDescent="0.35">
      <c r="F132" s="11"/>
    </row>
    <row r="133" spans="6:6" x14ac:dyDescent="0.35">
      <c r="F133" s="11"/>
    </row>
    <row r="134" spans="6:6" x14ac:dyDescent="0.35">
      <c r="F134" s="11"/>
    </row>
    <row r="135" spans="6:6" x14ac:dyDescent="0.35">
      <c r="F135" s="11"/>
    </row>
    <row r="136" spans="6:6" x14ac:dyDescent="0.35">
      <c r="F136" s="11"/>
    </row>
    <row r="137" spans="6:6" x14ac:dyDescent="0.35">
      <c r="F137" s="11"/>
    </row>
    <row r="138" spans="6:6" x14ac:dyDescent="0.35">
      <c r="F138" s="11"/>
    </row>
    <row r="139" spans="6:6" x14ac:dyDescent="0.35">
      <c r="F139" s="11"/>
    </row>
    <row r="140" spans="6:6" x14ac:dyDescent="0.35">
      <c r="F140" s="11"/>
    </row>
    <row r="141" spans="6:6" x14ac:dyDescent="0.35">
      <c r="F141" s="11"/>
    </row>
    <row r="142" spans="6:6" x14ac:dyDescent="0.35">
      <c r="F142" s="11"/>
    </row>
    <row r="143" spans="6:6" x14ac:dyDescent="0.35">
      <c r="F143" s="11"/>
    </row>
    <row r="144" spans="6:6" x14ac:dyDescent="0.35">
      <c r="F144" s="11"/>
    </row>
    <row r="145" spans="6:6" x14ac:dyDescent="0.35">
      <c r="F145" s="11"/>
    </row>
    <row r="146" spans="6:6" x14ac:dyDescent="0.35">
      <c r="F146" s="11"/>
    </row>
    <row r="147" spans="6:6" x14ac:dyDescent="0.35">
      <c r="F147" s="11"/>
    </row>
    <row r="148" spans="6:6" x14ac:dyDescent="0.35">
      <c r="F148" s="11"/>
    </row>
    <row r="149" spans="6:6" x14ac:dyDescent="0.35">
      <c r="F149" s="11"/>
    </row>
    <row r="150" spans="6:6" x14ac:dyDescent="0.35">
      <c r="F150" s="11"/>
    </row>
    <row r="151" spans="6:6" x14ac:dyDescent="0.35">
      <c r="F151" s="11"/>
    </row>
    <row r="152" spans="6:6" x14ac:dyDescent="0.35">
      <c r="F152" s="11"/>
    </row>
    <row r="153" spans="6:6" x14ac:dyDescent="0.35">
      <c r="F153" s="11"/>
    </row>
    <row r="154" spans="6:6" x14ac:dyDescent="0.35">
      <c r="F154" s="11"/>
    </row>
    <row r="155" spans="6:6" x14ac:dyDescent="0.35">
      <c r="F155" s="11"/>
    </row>
    <row r="156" spans="6:6" x14ac:dyDescent="0.35">
      <c r="F156" s="11"/>
    </row>
    <row r="157" spans="6:6" x14ac:dyDescent="0.35">
      <c r="F157" s="11"/>
    </row>
    <row r="158" spans="6:6" x14ac:dyDescent="0.35">
      <c r="F158" s="11"/>
    </row>
    <row r="159" spans="6:6" x14ac:dyDescent="0.35">
      <c r="F159" s="11"/>
    </row>
    <row r="160" spans="6:6" x14ac:dyDescent="0.35">
      <c r="F160" s="11"/>
    </row>
    <row r="161" spans="6:6" x14ac:dyDescent="0.35">
      <c r="F161" s="11"/>
    </row>
    <row r="162" spans="6:6" x14ac:dyDescent="0.35">
      <c r="F162" s="11"/>
    </row>
    <row r="163" spans="6:6" x14ac:dyDescent="0.35">
      <c r="F163" s="11"/>
    </row>
    <row r="164" spans="6:6" x14ac:dyDescent="0.35">
      <c r="F164" s="11"/>
    </row>
  </sheetData>
  <hyperlinks>
    <hyperlink ref="H8" r:id="rId1"/>
    <hyperlink ref="H9" r:id="rId2"/>
    <hyperlink ref="H10" r:id="rId3"/>
    <hyperlink ref="H11" r:id="rId4"/>
    <hyperlink ref="H12" r:id="rId5"/>
    <hyperlink ref="H13" r:id="rId6"/>
    <hyperlink ref="H14" r:id="rId7"/>
    <hyperlink ref="H15" r:id="rId8"/>
    <hyperlink ref="H16" r:id="rId9"/>
    <hyperlink ref="H17" r:id="rId10"/>
    <hyperlink ref="H18" r:id="rId11"/>
    <hyperlink ref="H19" r:id="rId12"/>
    <hyperlink ref="H20" r:id="rId13"/>
    <hyperlink ref="H21" r:id="rId14"/>
    <hyperlink ref="H22" r:id="rId15"/>
    <hyperlink ref="H23" r:id="rId16"/>
    <hyperlink ref="H24" r:id="rId17"/>
    <hyperlink ref="H25" r:id="rId18"/>
    <hyperlink ref="H26" r:id="rId19"/>
    <hyperlink ref="H27" r:id="rId20"/>
    <hyperlink ref="H28" r:id="rId21"/>
  </hyperlinks>
  <pageMargins left="0.7" right="0.7" top="0.75" bottom="0.75" header="0.3" footer="0.3"/>
  <drawing r:id="rId22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showGridLines="0" showRowColHeaders="0" zoomScaleNormal="100" workbookViewId="0">
      <pane xSplit="5" ySplit="8" topLeftCell="F9" activePane="bottomRight" state="frozen"/>
      <selection activeCell="M11" sqref="M11"/>
      <selection pane="topRight" activeCell="M11" sqref="M11"/>
      <selection pane="bottomLeft" activeCell="M11" sqref="M11"/>
      <selection pane="bottomRight" activeCell="G14" sqref="G14"/>
    </sheetView>
  </sheetViews>
  <sheetFormatPr defaultRowHeight="14.5" x14ac:dyDescent="0.35"/>
  <cols>
    <col min="1" max="1" width="4.90625" style="2" customWidth="1"/>
    <col min="2" max="5" width="8.7265625" style="2"/>
    <col min="6" max="6" width="13" style="2" customWidth="1"/>
    <col min="7" max="7" width="15.36328125" style="2" customWidth="1"/>
    <col min="8" max="9" width="11.6328125" style="2" customWidth="1"/>
    <col min="10" max="10" width="10.90625" style="2" customWidth="1"/>
    <col min="11" max="16384" width="8.7265625" style="2"/>
  </cols>
  <sheetData>
    <row r="1" spans="1:1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5">
      <c r="A8" s="3"/>
      <c r="B8" s="3"/>
      <c r="C8" s="3"/>
      <c r="D8" s="3"/>
      <c r="E8" s="3"/>
      <c r="F8" t="s">
        <v>97</v>
      </c>
      <c r="G8" t="s">
        <v>88</v>
      </c>
      <c r="H8" t="s">
        <v>55</v>
      </c>
      <c r="I8" t="s">
        <v>98</v>
      </c>
      <c r="J8" t="s">
        <v>56</v>
      </c>
      <c r="K8" s="3"/>
    </row>
    <row r="9" spans="1:11" x14ac:dyDescent="0.35">
      <c r="A9" s="3"/>
      <c r="B9" s="3"/>
      <c r="C9" s="3"/>
      <c r="D9" s="3"/>
      <c r="E9" s="3"/>
      <c r="F9" t="s">
        <v>76</v>
      </c>
      <c r="G9" t="s">
        <v>60</v>
      </c>
      <c r="H9">
        <v>261.95999999999998</v>
      </c>
      <c r="I9">
        <f>Table5[[#This Row],[Sales]]-Table5[[#This Row],[Profit]]</f>
        <v>220.04639999999998</v>
      </c>
      <c r="J9">
        <v>41.913600000000002</v>
      </c>
      <c r="K9" s="3"/>
    </row>
    <row r="10" spans="1:11" x14ac:dyDescent="0.35">
      <c r="A10" s="3"/>
      <c r="B10" s="3"/>
      <c r="C10" s="3"/>
      <c r="D10" s="3"/>
      <c r="E10" s="3"/>
      <c r="F10" t="s">
        <v>77</v>
      </c>
      <c r="G10" t="s">
        <v>61</v>
      </c>
      <c r="H10">
        <v>731.94</v>
      </c>
      <c r="I10">
        <f>Table5[[#This Row],[Sales]]-Table5[[#This Row],[Profit]]</f>
        <v>512.35800000000006</v>
      </c>
      <c r="J10">
        <v>219.58199999999999</v>
      </c>
      <c r="K10" s="3"/>
    </row>
    <row r="11" spans="1:11" x14ac:dyDescent="0.35">
      <c r="A11" s="3"/>
      <c r="B11" s="3"/>
      <c r="C11" s="3"/>
      <c r="D11" s="3"/>
      <c r="E11" s="3"/>
      <c r="F11" t="s">
        <v>78</v>
      </c>
      <c r="G11" t="s">
        <v>65</v>
      </c>
      <c r="H11">
        <v>14.62</v>
      </c>
      <c r="I11">
        <f>Table5[[#This Row],[Sales]]-Table5[[#This Row],[Profit]]</f>
        <v>7.7485999999999988</v>
      </c>
      <c r="J11">
        <v>6.8714000000000004</v>
      </c>
      <c r="K11" s="3"/>
    </row>
    <row r="12" spans="1:11" x14ac:dyDescent="0.35">
      <c r="A12" s="3"/>
      <c r="B12" s="3"/>
      <c r="C12" s="3"/>
      <c r="D12" s="3"/>
      <c r="E12" s="3"/>
      <c r="F12" t="s">
        <v>79</v>
      </c>
      <c r="G12" t="s">
        <v>68</v>
      </c>
      <c r="H12">
        <v>957.57749999999999</v>
      </c>
      <c r="I12">
        <f>Table5[[#This Row],[Sales]]-Table5[[#This Row],[Profit]]</f>
        <v>574.54649999999992</v>
      </c>
      <c r="J12">
        <v>383.03100000000001</v>
      </c>
      <c r="K12" s="3"/>
    </row>
    <row r="13" spans="1:11" x14ac:dyDescent="0.35">
      <c r="A13" s="3"/>
      <c r="B13" s="3"/>
      <c r="C13" s="3"/>
      <c r="D13" s="3"/>
      <c r="E13" s="3"/>
      <c r="F13" t="s">
        <v>80</v>
      </c>
      <c r="G13" t="s">
        <v>69</v>
      </c>
      <c r="H13">
        <v>22.367999999999999</v>
      </c>
      <c r="I13">
        <f>Table5[[#This Row],[Sales]]-Table5[[#This Row],[Profit]]</f>
        <v>19.851599999999998</v>
      </c>
      <c r="J13">
        <v>2.5164</v>
      </c>
      <c r="K13" s="3"/>
    </row>
    <row r="14" spans="1:11" x14ac:dyDescent="0.35">
      <c r="A14" s="3"/>
      <c r="B14" s="3"/>
      <c r="C14" s="3"/>
      <c r="D14" s="3"/>
      <c r="E14" s="3"/>
      <c r="F14" t="s">
        <v>81</v>
      </c>
      <c r="G14" t="s">
        <v>70</v>
      </c>
      <c r="H14">
        <v>48.86</v>
      </c>
      <c r="I14">
        <f>Table5[[#This Row],[Sales]]-Table5[[#This Row],[Profit]]</f>
        <v>34.690600000000003</v>
      </c>
      <c r="J14">
        <v>14.1694</v>
      </c>
      <c r="K14" s="3"/>
    </row>
    <row r="15" spans="1:11" x14ac:dyDescent="0.35">
      <c r="A15" s="3"/>
      <c r="B15" s="3"/>
      <c r="C15" s="3"/>
      <c r="D15" s="3"/>
      <c r="E15" s="3"/>
      <c r="F15" t="s">
        <v>82</v>
      </c>
      <c r="G15" t="s">
        <v>71</v>
      </c>
      <c r="H15">
        <v>7.28</v>
      </c>
      <c r="I15">
        <f>Table5[[#This Row],[Sales]]-Table5[[#This Row],[Profit]]</f>
        <v>5.3144</v>
      </c>
      <c r="J15">
        <v>1.9656</v>
      </c>
      <c r="K15" s="3"/>
    </row>
    <row r="16" spans="1:11" x14ac:dyDescent="0.35">
      <c r="A16" s="3"/>
      <c r="B16" s="3"/>
      <c r="C16" s="3"/>
      <c r="D16" s="3"/>
      <c r="E16" s="3"/>
      <c r="F16" t="s">
        <v>83</v>
      </c>
      <c r="G16" t="s">
        <v>72</v>
      </c>
      <c r="H16">
        <v>907.15200000000004</v>
      </c>
      <c r="I16">
        <f>Table5[[#This Row],[Sales]]-Table5[[#This Row],[Profit]]</f>
        <v>816.43680000000006</v>
      </c>
      <c r="J16">
        <v>90.715199999999996</v>
      </c>
      <c r="K16" s="3"/>
    </row>
    <row r="17" spans="1:11" x14ac:dyDescent="0.35">
      <c r="A17" s="3"/>
      <c r="B17" s="3"/>
      <c r="C17" s="3"/>
      <c r="D17" s="3"/>
      <c r="E17" s="3"/>
      <c r="F17" t="s">
        <v>84</v>
      </c>
      <c r="G17" t="s">
        <v>73</v>
      </c>
      <c r="H17">
        <v>18.504000000000001</v>
      </c>
      <c r="I17">
        <f>Table5[[#This Row],[Sales]]-Table5[[#This Row],[Profit]]</f>
        <v>12.721500000000002</v>
      </c>
      <c r="J17">
        <v>5.7824999999999998</v>
      </c>
      <c r="K17" s="3"/>
    </row>
    <row r="18" spans="1:11" x14ac:dyDescent="0.35">
      <c r="A18" s="3"/>
      <c r="B18" s="3"/>
      <c r="C18" s="3"/>
      <c r="D18" s="3"/>
      <c r="E18" s="3"/>
      <c r="F18" t="s">
        <v>85</v>
      </c>
      <c r="G18" t="s">
        <v>74</v>
      </c>
      <c r="H18">
        <v>114.9</v>
      </c>
      <c r="I18">
        <f>Table5[[#This Row],[Sales]]-Table5[[#This Row],[Profit]]</f>
        <v>80.430000000000007</v>
      </c>
      <c r="J18">
        <v>34.47</v>
      </c>
      <c r="K18" s="3"/>
    </row>
    <row r="19" spans="1:11" x14ac:dyDescent="0.35">
      <c r="A19" s="3"/>
      <c r="B19" s="3"/>
      <c r="C19" s="3"/>
      <c r="D19" s="3"/>
      <c r="E19" s="3"/>
      <c r="F19" t="s">
        <v>86</v>
      </c>
      <c r="G19" t="s">
        <v>75</v>
      </c>
      <c r="H19">
        <v>1706.184</v>
      </c>
      <c r="I19">
        <f>Table5[[#This Row],[Sales]]-Table5[[#This Row],[Profit]]</f>
        <v>1620.8748000000001</v>
      </c>
      <c r="J19">
        <v>85.309200000000004</v>
      </c>
      <c r="K19" s="3"/>
    </row>
    <row r="20" spans="1:11" x14ac:dyDescent="0.35">
      <c r="A20" s="3"/>
      <c r="B20" s="3"/>
      <c r="C20" s="3"/>
      <c r="D20" s="3"/>
      <c r="E20" s="3"/>
      <c r="F20" t="s">
        <v>87</v>
      </c>
      <c r="G20" t="s">
        <v>73</v>
      </c>
      <c r="H20">
        <v>911.42399999999998</v>
      </c>
      <c r="I20">
        <f>Table5[[#This Row],[Sales]]-Table5[[#This Row],[Profit]]</f>
        <v>843.06719999999996</v>
      </c>
      <c r="J20">
        <v>68.356800000000007</v>
      </c>
      <c r="K20" s="3"/>
    </row>
    <row r="21" spans="1:11" x14ac:dyDescent="0.35">
      <c r="A21" s="3"/>
      <c r="B21" s="3"/>
      <c r="C21" s="3"/>
      <c r="D21" s="3"/>
      <c r="E21" s="3"/>
      <c r="F21"/>
      <c r="G21"/>
      <c r="H21"/>
      <c r="I21"/>
      <c r="J21"/>
      <c r="K21" s="3"/>
    </row>
    <row r="22" spans="1:1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showGridLines="0" showRowColHeaders="0" topLeftCell="A19" zoomScaleNormal="100" workbookViewId="0">
      <selection activeCell="G37" sqref="G37"/>
    </sheetView>
  </sheetViews>
  <sheetFormatPr defaultRowHeight="14.5" x14ac:dyDescent="0.35"/>
  <cols>
    <col min="1" max="1" width="4.90625" style="2" customWidth="1"/>
    <col min="2" max="5" width="8.7265625" style="2"/>
    <col min="6" max="6" width="12.08984375" style="1" bestFit="1" customWidth="1"/>
    <col min="7" max="7" width="18.26953125" style="1" bestFit="1" customWidth="1"/>
    <col min="8" max="8" width="17.81640625" style="1" bestFit="1" customWidth="1"/>
    <col min="9" max="9" width="14" style="1" bestFit="1" customWidth="1"/>
    <col min="10" max="10" width="9.7265625" style="1" bestFit="1" customWidth="1"/>
    <col min="11" max="11" width="11" style="1" bestFit="1" customWidth="1"/>
    <col min="12" max="12" width="18.08984375" style="2" bestFit="1" customWidth="1"/>
    <col min="13" max="16384" width="8.7265625" style="2"/>
  </cols>
  <sheetData>
    <row r="1" spans="1:12" x14ac:dyDescent="0.35">
      <c r="A1" s="3"/>
      <c r="B1" s="3"/>
      <c r="C1" s="3"/>
      <c r="D1" s="3"/>
      <c r="E1" s="3"/>
      <c r="F1" s="4"/>
      <c r="G1" s="4"/>
      <c r="H1" s="4"/>
      <c r="I1" s="4"/>
      <c r="J1" s="4"/>
      <c r="K1" s="4"/>
      <c r="L1" s="3"/>
    </row>
    <row r="2" spans="1:12" x14ac:dyDescent="0.35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3"/>
    </row>
    <row r="3" spans="1:12" x14ac:dyDescent="0.35">
      <c r="A3" s="3"/>
      <c r="B3" s="3"/>
      <c r="C3" s="3"/>
      <c r="D3" s="3"/>
      <c r="E3" s="3"/>
      <c r="F3" s="4"/>
      <c r="G3" s="4"/>
      <c r="H3" s="4"/>
      <c r="I3" s="4"/>
      <c r="J3" s="4"/>
      <c r="K3" s="4"/>
      <c r="L3" s="3"/>
    </row>
    <row r="4" spans="1:12" x14ac:dyDescent="0.35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3"/>
    </row>
    <row r="5" spans="1:12" x14ac:dyDescent="0.3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3"/>
    </row>
    <row r="6" spans="1:12" x14ac:dyDescent="0.35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3"/>
    </row>
    <row r="7" spans="1:12" x14ac:dyDescent="0.3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3"/>
    </row>
    <row r="8" spans="1:12" x14ac:dyDescent="0.35">
      <c r="A8" s="3"/>
      <c r="B8" s="3"/>
      <c r="C8" s="3"/>
      <c r="D8" s="3"/>
      <c r="E8" s="3"/>
      <c r="F8" s="4" t="s">
        <v>91</v>
      </c>
      <c r="G8" s="4" t="s">
        <v>88</v>
      </c>
      <c r="H8" s="4" t="s">
        <v>89</v>
      </c>
      <c r="I8" s="4" t="s">
        <v>52</v>
      </c>
      <c r="J8" s="4" t="s">
        <v>53</v>
      </c>
      <c r="K8" s="4" t="s">
        <v>54</v>
      </c>
      <c r="L8" s="4" t="s">
        <v>119</v>
      </c>
    </row>
    <row r="9" spans="1:12" x14ac:dyDescent="0.35">
      <c r="A9" s="3"/>
      <c r="B9" s="3"/>
      <c r="C9" s="3"/>
      <c r="D9" s="3"/>
      <c r="E9" s="3"/>
      <c r="F9" s="4" t="s">
        <v>76</v>
      </c>
      <c r="G9" s="4" t="s">
        <v>60</v>
      </c>
      <c r="H9" s="4" t="s">
        <v>10</v>
      </c>
      <c r="I9" s="4" t="s">
        <v>57</v>
      </c>
      <c r="J9" s="4" t="s">
        <v>58</v>
      </c>
      <c r="K9" s="4" t="s">
        <v>59</v>
      </c>
      <c r="L9" s="4" t="s">
        <v>120</v>
      </c>
    </row>
    <row r="10" spans="1:12" x14ac:dyDescent="0.35">
      <c r="A10" s="3"/>
      <c r="B10" s="3"/>
      <c r="C10" s="3"/>
      <c r="D10" s="3"/>
      <c r="E10" s="3"/>
      <c r="F10" s="4" t="s">
        <v>77</v>
      </c>
      <c r="G10" s="4" t="s">
        <v>61</v>
      </c>
      <c r="H10" s="4" t="s">
        <v>11</v>
      </c>
      <c r="I10" s="4" t="s">
        <v>57</v>
      </c>
      <c r="J10" s="4" t="s">
        <v>58</v>
      </c>
      <c r="K10" s="4" t="s">
        <v>59</v>
      </c>
      <c r="L10" s="4" t="s">
        <v>121</v>
      </c>
    </row>
    <row r="11" spans="1:12" x14ac:dyDescent="0.35">
      <c r="A11" s="3"/>
      <c r="B11" s="3"/>
      <c r="C11" s="3"/>
      <c r="D11" s="3"/>
      <c r="E11" s="3"/>
      <c r="F11" s="4" t="s">
        <v>78</v>
      </c>
      <c r="G11" s="4" t="s">
        <v>65</v>
      </c>
      <c r="H11" s="4" t="s">
        <v>12</v>
      </c>
      <c r="I11" s="4" t="s">
        <v>62</v>
      </c>
      <c r="J11" s="4" t="s">
        <v>63</v>
      </c>
      <c r="K11" s="4" t="s">
        <v>64</v>
      </c>
      <c r="L11" s="4" t="s">
        <v>122</v>
      </c>
    </row>
    <row r="12" spans="1:12" x14ac:dyDescent="0.35">
      <c r="A12" s="3"/>
      <c r="B12" s="3"/>
      <c r="C12" s="3"/>
      <c r="D12" s="3"/>
      <c r="E12" s="3"/>
      <c r="F12" s="4" t="s">
        <v>79</v>
      </c>
      <c r="G12" s="4" t="s">
        <v>68</v>
      </c>
      <c r="H12" s="4" t="s">
        <v>13</v>
      </c>
      <c r="I12" s="4" t="s">
        <v>66</v>
      </c>
      <c r="J12" s="4" t="s">
        <v>67</v>
      </c>
      <c r="K12" s="4" t="s">
        <v>59</v>
      </c>
      <c r="L12" s="4" t="s">
        <v>123</v>
      </c>
    </row>
    <row r="13" spans="1:12" x14ac:dyDescent="0.35">
      <c r="A13" s="3"/>
      <c r="B13" s="3"/>
      <c r="C13" s="3"/>
      <c r="D13" s="3"/>
      <c r="E13" s="3"/>
      <c r="F13" s="4" t="s">
        <v>80</v>
      </c>
      <c r="G13" s="4" t="s">
        <v>69</v>
      </c>
      <c r="H13" s="4" t="s">
        <v>14</v>
      </c>
      <c r="I13" s="4" t="s">
        <v>66</v>
      </c>
      <c r="J13" s="4" t="s">
        <v>67</v>
      </c>
      <c r="K13" s="4" t="s">
        <v>59</v>
      </c>
      <c r="L13" s="4" t="s">
        <v>124</v>
      </c>
    </row>
    <row r="14" spans="1:12" x14ac:dyDescent="0.35">
      <c r="A14" s="3"/>
      <c r="B14" s="3"/>
      <c r="C14" s="3"/>
      <c r="D14" s="3"/>
      <c r="E14" s="3"/>
      <c r="F14" s="4" t="s">
        <v>81</v>
      </c>
      <c r="G14" s="4" t="s">
        <v>70</v>
      </c>
      <c r="H14" s="4" t="s">
        <v>15</v>
      </c>
      <c r="I14" s="4" t="s">
        <v>62</v>
      </c>
      <c r="J14" s="4" t="s">
        <v>63</v>
      </c>
      <c r="K14" s="4" t="s">
        <v>64</v>
      </c>
      <c r="L14" s="4" t="s">
        <v>125</v>
      </c>
    </row>
    <row r="15" spans="1:12" x14ac:dyDescent="0.35">
      <c r="A15" s="3"/>
      <c r="B15" s="3"/>
      <c r="C15" s="3"/>
      <c r="D15" s="3"/>
      <c r="E15" s="3"/>
      <c r="F15" s="4" t="s">
        <v>82</v>
      </c>
      <c r="G15" s="4" t="s">
        <v>71</v>
      </c>
      <c r="H15" s="4" t="s">
        <v>16</v>
      </c>
      <c r="I15" s="4" t="s">
        <v>62</v>
      </c>
      <c r="J15" s="4" t="s">
        <v>63</v>
      </c>
      <c r="K15" s="4" t="s">
        <v>64</v>
      </c>
      <c r="L15" s="4" t="s">
        <v>126</v>
      </c>
    </row>
    <row r="16" spans="1:12" x14ac:dyDescent="0.35">
      <c r="A16" s="3"/>
      <c r="B16" s="3"/>
      <c r="C16" s="3"/>
      <c r="D16" s="3"/>
      <c r="E16" s="3"/>
      <c r="F16" s="4" t="s">
        <v>83</v>
      </c>
      <c r="G16" s="4" t="s">
        <v>72</v>
      </c>
      <c r="H16" s="4" t="s">
        <v>17</v>
      </c>
      <c r="I16" s="4" t="s">
        <v>62</v>
      </c>
      <c r="J16" s="4" t="s">
        <v>63</v>
      </c>
      <c r="K16" s="4" t="s">
        <v>64</v>
      </c>
      <c r="L16" s="4" t="s">
        <v>127</v>
      </c>
    </row>
    <row r="17" spans="1:12" x14ac:dyDescent="0.35">
      <c r="A17" s="3"/>
      <c r="B17" s="3"/>
      <c r="C17" s="3"/>
      <c r="D17" s="3"/>
      <c r="E17" s="3"/>
      <c r="F17" s="4" t="s">
        <v>84</v>
      </c>
      <c r="G17" s="4" t="s">
        <v>73</v>
      </c>
      <c r="H17" s="4" t="s">
        <v>18</v>
      </c>
      <c r="I17" s="4" t="s">
        <v>62</v>
      </c>
      <c r="J17" s="4" t="s">
        <v>63</v>
      </c>
      <c r="K17" s="4" t="s">
        <v>64</v>
      </c>
      <c r="L17" s="4" t="s">
        <v>128</v>
      </c>
    </row>
    <row r="18" spans="1:12" x14ac:dyDescent="0.35">
      <c r="A18" s="3"/>
      <c r="B18" s="3"/>
      <c r="C18" s="3"/>
      <c r="D18" s="3"/>
      <c r="E18" s="3"/>
      <c r="F18" s="4" t="s">
        <v>85</v>
      </c>
      <c r="G18" s="4" t="s">
        <v>74</v>
      </c>
      <c r="H18" s="4" t="s">
        <v>19</v>
      </c>
      <c r="I18" s="4" t="s">
        <v>62</v>
      </c>
      <c r="J18" s="4" t="s">
        <v>63</v>
      </c>
      <c r="K18" s="4" t="s">
        <v>64</v>
      </c>
      <c r="L18" s="4" t="s">
        <v>129</v>
      </c>
    </row>
    <row r="19" spans="1:12" x14ac:dyDescent="0.35">
      <c r="A19" s="3"/>
      <c r="B19" s="3"/>
      <c r="C19" s="3"/>
      <c r="D19" s="3"/>
      <c r="E19" s="3"/>
      <c r="F19" s="4" t="s">
        <v>86</v>
      </c>
      <c r="G19" s="4" t="s">
        <v>75</v>
      </c>
      <c r="H19" s="4" t="s">
        <v>20</v>
      </c>
      <c r="I19" s="4" t="s">
        <v>62</v>
      </c>
      <c r="J19" s="4" t="s">
        <v>63</v>
      </c>
      <c r="K19" s="4" t="s">
        <v>64</v>
      </c>
      <c r="L19" s="4" t="s">
        <v>131</v>
      </c>
    </row>
    <row r="20" spans="1:12" x14ac:dyDescent="0.35">
      <c r="A20" s="3"/>
      <c r="B20" s="3"/>
      <c r="C20" s="3"/>
      <c r="D20" s="3"/>
      <c r="E20" s="3"/>
      <c r="F20" s="4" t="s">
        <v>87</v>
      </c>
      <c r="G20" s="4" t="s">
        <v>73</v>
      </c>
      <c r="H20" s="4" t="s">
        <v>21</v>
      </c>
      <c r="I20" s="4" t="s">
        <v>62</v>
      </c>
      <c r="J20" s="4" t="s">
        <v>63</v>
      </c>
      <c r="K20" s="4" t="s">
        <v>64</v>
      </c>
      <c r="L20" s="4" t="s">
        <v>130</v>
      </c>
    </row>
    <row r="21" spans="1:12" x14ac:dyDescent="0.35">
      <c r="A21" s="3"/>
      <c r="B21" s="3"/>
      <c r="C21" s="3"/>
      <c r="D21" s="3"/>
      <c r="E21" s="3"/>
      <c r="F21" s="4"/>
      <c r="G21" s="4"/>
      <c r="H21" s="4"/>
      <c r="I21" s="4"/>
      <c r="J21" s="4"/>
      <c r="K21" s="4"/>
      <c r="L21" s="3"/>
    </row>
    <row r="22" spans="1:12" x14ac:dyDescent="0.35">
      <c r="A22" s="3"/>
      <c r="B22" s="3"/>
      <c r="C22" s="3"/>
      <c r="D22" s="3"/>
      <c r="E22" s="3"/>
      <c r="F22" s="4"/>
      <c r="G22" s="4"/>
      <c r="H22" s="4"/>
      <c r="I22" s="4"/>
      <c r="J22" s="4"/>
      <c r="K22" s="4"/>
      <c r="L22" s="3"/>
    </row>
    <row r="23" spans="1:12" x14ac:dyDescent="0.35">
      <c r="A23" s="3"/>
      <c r="B23" s="3"/>
      <c r="C23" s="3"/>
      <c r="D23" s="3"/>
      <c r="E23" s="3"/>
      <c r="F23" s="4"/>
      <c r="G23" s="4"/>
      <c r="H23" s="4"/>
      <c r="I23" s="4"/>
      <c r="J23" s="4"/>
      <c r="K23" s="4"/>
      <c r="L23" s="3"/>
    </row>
    <row r="24" spans="1:12" x14ac:dyDescent="0.35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3"/>
    </row>
    <row r="25" spans="1:12" x14ac:dyDescent="0.35">
      <c r="A25" s="3"/>
      <c r="B25" s="3"/>
      <c r="C25" s="3"/>
      <c r="D25" s="3"/>
      <c r="E25" s="3"/>
      <c r="F25" s="4"/>
      <c r="G25" s="4"/>
      <c r="H25" s="4"/>
      <c r="I25" s="4"/>
      <c r="J25" s="4"/>
      <c r="K25" s="4"/>
      <c r="L25" s="3"/>
    </row>
    <row r="26" spans="1:12" x14ac:dyDescent="0.35">
      <c r="A26" s="3"/>
      <c r="B26" s="3"/>
      <c r="C26" s="3"/>
      <c r="D26" s="3"/>
      <c r="E26" s="3"/>
      <c r="F26" s="4"/>
      <c r="G26" s="4"/>
      <c r="H26" s="4"/>
      <c r="I26" s="4"/>
      <c r="J26" s="4"/>
      <c r="K26" s="4"/>
      <c r="L26" s="3"/>
    </row>
    <row r="27" spans="1:12" x14ac:dyDescent="0.35">
      <c r="A27" s="3"/>
      <c r="B27" s="3"/>
      <c r="C27" s="3"/>
      <c r="D27" s="3"/>
      <c r="E27" s="3"/>
      <c r="F27" s="4"/>
      <c r="G27" s="4"/>
      <c r="H27" s="4"/>
      <c r="I27" s="4"/>
      <c r="J27" s="4"/>
      <c r="K27" s="4"/>
      <c r="L27" s="3"/>
    </row>
    <row r="28" spans="1:12" x14ac:dyDescent="0.35">
      <c r="A28" s="3"/>
      <c r="B28" s="3"/>
      <c r="C28" s="3"/>
      <c r="D28" s="3"/>
      <c r="E28" s="3"/>
      <c r="F28" s="4"/>
      <c r="G28" s="4"/>
      <c r="H28" s="4"/>
      <c r="I28" s="4"/>
      <c r="J28" s="4"/>
      <c r="K28" s="4"/>
      <c r="L28" s="3"/>
    </row>
    <row r="29" spans="1:12" x14ac:dyDescent="0.35">
      <c r="A29" s="3"/>
      <c r="B29" s="3"/>
      <c r="C29" s="3"/>
      <c r="D29" s="3"/>
      <c r="E29" s="3"/>
      <c r="F29" s="4"/>
      <c r="G29" s="4"/>
      <c r="H29" s="4"/>
      <c r="I29" s="4"/>
      <c r="J29" s="4"/>
      <c r="K29" s="4"/>
      <c r="L29" s="3"/>
    </row>
    <row r="30" spans="1:12" x14ac:dyDescent="0.35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3"/>
    </row>
    <row r="31" spans="1:12" x14ac:dyDescent="0.35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3"/>
    </row>
    <row r="32" spans="1:12" x14ac:dyDescent="0.35">
      <c r="A32" s="3"/>
      <c r="B32" s="3"/>
      <c r="C32" s="3"/>
      <c r="D32" s="3"/>
      <c r="E32" s="3"/>
      <c r="F32" s="4"/>
      <c r="G32" s="4"/>
      <c r="H32" s="4"/>
      <c r="I32" s="4"/>
      <c r="J32" s="4"/>
      <c r="K32" s="4"/>
      <c r="L32" s="3"/>
    </row>
    <row r="33" spans="12:12" x14ac:dyDescent="0.35">
      <c r="L33" s="6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showGridLines="0" showRowColHeaders="0" zoomScale="85" zoomScaleNormal="85" workbookViewId="0">
      <pane xSplit="5" ySplit="8" topLeftCell="F9" activePane="bottomRight" state="frozen"/>
      <selection activeCell="M11" sqref="M11"/>
      <selection pane="topRight" activeCell="M11" sqref="M11"/>
      <selection pane="bottomLeft" activeCell="M11" sqref="M11"/>
      <selection pane="bottomRight" activeCell="G24" sqref="G24"/>
    </sheetView>
  </sheetViews>
  <sheetFormatPr defaultRowHeight="14.5" x14ac:dyDescent="0.35"/>
  <cols>
    <col min="1" max="1" width="4.90625" style="2" customWidth="1"/>
    <col min="2" max="5" width="8.7265625" style="2"/>
    <col min="6" max="6" width="11.08984375" style="2" customWidth="1"/>
    <col min="7" max="7" width="15.81640625" style="2" customWidth="1"/>
    <col min="8" max="8" width="9.81640625" style="2" customWidth="1"/>
    <col min="9" max="9" width="13.54296875" style="2" customWidth="1"/>
    <col min="10" max="10" width="12.1796875" style="2" customWidth="1"/>
    <col min="11" max="11" width="10.08984375" style="2" customWidth="1"/>
    <col min="12" max="12" width="12.08984375" style="2" customWidth="1"/>
    <col min="13" max="16384" width="8.7265625" style="2"/>
  </cols>
  <sheetData>
    <row r="1" spans="1:13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3"/>
      <c r="B8" s="3"/>
      <c r="C8" s="3"/>
      <c r="D8" s="3"/>
      <c r="E8" s="3"/>
      <c r="F8" s="3" t="s">
        <v>90</v>
      </c>
      <c r="G8" s="3" t="s">
        <v>88</v>
      </c>
      <c r="H8" s="3" t="s">
        <v>92</v>
      </c>
      <c r="I8" s="3" t="s">
        <v>93</v>
      </c>
      <c r="J8" s="3" t="s">
        <v>96</v>
      </c>
      <c r="K8" s="3" t="s">
        <v>94</v>
      </c>
      <c r="L8" s="3" t="s">
        <v>95</v>
      </c>
      <c r="M8" s="3"/>
    </row>
    <row r="9" spans="1:13" x14ac:dyDescent="0.35">
      <c r="A9" s="3"/>
      <c r="B9" s="3"/>
      <c r="C9" s="3"/>
      <c r="D9" s="3"/>
      <c r="E9" s="3"/>
      <c r="F9" s="3" t="s">
        <v>78</v>
      </c>
      <c r="G9" s="3" t="str">
        <f>IFERROR(VLOOKUP(Table8[[#This Row],[HSN No]],Table5[#All],2,0),"")</f>
        <v>Labels</v>
      </c>
      <c r="H9" s="3" t="str">
        <f>IFERROR(VLOOKUP(Table8[[#This Row],[HSN No]],Table7[#All],3,0),"")</f>
        <v>Carter</v>
      </c>
      <c r="I9" s="5">
        <v>46032</v>
      </c>
      <c r="J9" s="3">
        <v>23</v>
      </c>
      <c r="K9" s="3">
        <f>IFERROR(VLOOKUP(Table8[[#This Row],[HSN No]],Products!F8:J19,4,0),"")</f>
        <v>7.7485999999999988</v>
      </c>
      <c r="L9" s="3">
        <f>IFERROR((Table8[[#This Row],[Units]]*Table8[[#This Row],[Cost]]),"")</f>
        <v>178.21779999999998</v>
      </c>
      <c r="M9" s="3"/>
    </row>
    <row r="10" spans="1:13" x14ac:dyDescent="0.35">
      <c r="A10" s="3"/>
      <c r="B10" s="3"/>
      <c r="C10" s="3"/>
      <c r="D10" s="3"/>
      <c r="E10" s="3"/>
      <c r="F10" s="3" t="s">
        <v>79</v>
      </c>
      <c r="G10" s="3" t="str">
        <f>IFERROR(VLOOKUP(Table8[[#This Row],[HSN No]],Table5[#All],2,0),"")</f>
        <v>Tables</v>
      </c>
      <c r="H10" s="3" t="str">
        <f>IFERROR(VLOOKUP(Table8[[#This Row],[HSN No]],Table7[#All],3,0),"")</f>
        <v>Mia</v>
      </c>
      <c r="I10" s="5">
        <v>46033</v>
      </c>
      <c r="J10" s="3">
        <v>43</v>
      </c>
      <c r="K10" s="3">
        <f>IFERROR(VLOOKUP(Table8[[#This Row],[HSN No]],Products!F9:J20,4,0),"")</f>
        <v>574.54649999999992</v>
      </c>
      <c r="L10" s="3">
        <f>IFERROR((Table8[[#This Row],[Units]]*Table8[[#This Row],[Cost]]),"")</f>
        <v>24705.499499999998</v>
      </c>
      <c r="M10" s="3"/>
    </row>
    <row r="11" spans="1:13" x14ac:dyDescent="0.35">
      <c r="A11" s="3"/>
      <c r="B11" s="3"/>
      <c r="C11" s="3"/>
      <c r="D11" s="3"/>
      <c r="E11" s="3"/>
      <c r="F11" s="3" t="s">
        <v>81</v>
      </c>
      <c r="G11" s="3" t="str">
        <f>IFERROR(VLOOKUP(Table8[[#This Row],[HSN No]],Table5[#All],2,0),"")</f>
        <v>Furnishings</v>
      </c>
      <c r="H11" s="3" t="str">
        <f>IFERROR(VLOOKUP(Table8[[#This Row],[HSN No]],Table7[#All],3,0),"")</f>
        <v>Abigail</v>
      </c>
      <c r="I11" s="5">
        <v>46034</v>
      </c>
      <c r="J11" s="3">
        <v>33</v>
      </c>
      <c r="K11" s="3">
        <f>IFERROR(VLOOKUP(Table8[[#This Row],[HSN No]],Products!F10:J21,4,0),"")</f>
        <v>34.690600000000003</v>
      </c>
      <c r="L11" s="3">
        <f>IFERROR((Table8[[#This Row],[Units]]*Table8[[#This Row],[Cost]]),"")</f>
        <v>1144.7898</v>
      </c>
      <c r="M11" s="3"/>
    </row>
    <row r="12" spans="1:13" x14ac:dyDescent="0.35">
      <c r="A12" s="3"/>
      <c r="B12" s="3"/>
      <c r="C12" s="3"/>
      <c r="D12" s="3"/>
      <c r="E12" s="3"/>
      <c r="F12" s="3" t="s">
        <v>83</v>
      </c>
      <c r="G12" s="3" t="str">
        <f>IFERROR(VLOOKUP(Table8[[#This Row],[HSN No]],Table5[#All],2,0),"")</f>
        <v>Phones</v>
      </c>
      <c r="H12" s="3" t="str">
        <f>IFERROR(VLOOKUP(Table8[[#This Row],[HSN No]],Table7[#All],3,0),"")</f>
        <v>William</v>
      </c>
      <c r="I12" s="5">
        <v>46035</v>
      </c>
      <c r="J12" s="3">
        <v>45</v>
      </c>
      <c r="K12" s="3">
        <f>IFERROR(VLOOKUP(Table8[[#This Row],[HSN No]],Products!F11:J22,4,0),"")</f>
        <v>816.43680000000006</v>
      </c>
      <c r="L12" s="3">
        <f>IFERROR((Table8[[#This Row],[Units]]*Table8[[#This Row],[Cost]]),"")</f>
        <v>36739.656000000003</v>
      </c>
      <c r="M12" s="3"/>
    </row>
    <row r="13" spans="1:13" x14ac:dyDescent="0.35">
      <c r="A13" s="3"/>
      <c r="B13" s="3"/>
      <c r="C13" s="3"/>
      <c r="D13" s="3"/>
      <c r="E13" s="3"/>
      <c r="F13" s="3" t="s">
        <v>80</v>
      </c>
      <c r="G13" s="3" t="str">
        <f>IFERROR(VLOOKUP(Table8[[#This Row],[HSN No]],Table5[#All],2,0),"")</f>
        <v>Storage</v>
      </c>
      <c r="H13" s="3" t="str">
        <f>IFERROR(VLOOKUP(Table8[[#This Row],[HSN No]],Table7[#All],3,0),"")</f>
        <v>Lucas</v>
      </c>
      <c r="I13" s="5">
        <v>46036</v>
      </c>
      <c r="J13" s="3">
        <v>24</v>
      </c>
      <c r="K13" s="3">
        <f>IFERROR(VLOOKUP(Table8[[#This Row],[HSN No]],Products!F12:J23,4,0),"")</f>
        <v>19.851599999999998</v>
      </c>
      <c r="L13" s="3">
        <f>IFERROR((Table8[[#This Row],[Units]]*Table8[[#This Row],[Cost]]),"")</f>
        <v>476.43839999999994</v>
      </c>
      <c r="M13" s="3"/>
    </row>
    <row r="14" spans="1:13" x14ac:dyDescent="0.35">
      <c r="A14" s="3"/>
      <c r="B14" s="3"/>
      <c r="C14" s="3"/>
      <c r="D14" s="3"/>
      <c r="E14" s="3"/>
      <c r="F14" s="3" t="s">
        <v>82</v>
      </c>
      <c r="G14" s="3" t="str">
        <f>IFERROR(VLOOKUP(Table8[[#This Row],[HSN No]],Table5[#All],2,0),"")</f>
        <v>Art</v>
      </c>
      <c r="H14" s="3" t="str">
        <f>IFERROR(VLOOKUP(Table8[[#This Row],[HSN No]],Table7[#All],3,0),"")</f>
        <v>Joseph</v>
      </c>
      <c r="I14" s="5">
        <v>46037</v>
      </c>
      <c r="J14" s="3">
        <v>24</v>
      </c>
      <c r="K14" s="3">
        <f>IFERROR(VLOOKUP(Table8[[#This Row],[HSN No]],Products!F13:J24,4,0),"")</f>
        <v>5.3144</v>
      </c>
      <c r="L14" s="3">
        <f>IFERROR((Table8[[#This Row],[Units]]*Table8[[#This Row],[Cost]]),"")</f>
        <v>127.54560000000001</v>
      </c>
      <c r="M14" s="3"/>
    </row>
    <row r="15" spans="1:13" x14ac:dyDescent="0.35">
      <c r="A15" s="3"/>
      <c r="B15" s="3"/>
      <c r="C15" s="3"/>
      <c r="D15" s="3"/>
      <c r="E15" s="3"/>
      <c r="F15" s="3" t="s">
        <v>81</v>
      </c>
      <c r="G15" s="3" t="str">
        <f>IFERROR(VLOOKUP(Table8[[#This Row],[HSN No]],Table5[#All],2,0),"")</f>
        <v>Furnishings</v>
      </c>
      <c r="H15" s="3" t="str">
        <f>IFERROR(VLOOKUP(Table8[[#This Row],[HSN No]],Table7[#All],3,0),"")</f>
        <v>Abigail</v>
      </c>
      <c r="I15" s="5">
        <v>46038</v>
      </c>
      <c r="J15" s="3">
        <v>24</v>
      </c>
      <c r="K15" s="3">
        <f>IFERROR(VLOOKUP(Table8[[#This Row],[HSN No]],Products!F14:J25,4,0),"")</f>
        <v>34.690600000000003</v>
      </c>
      <c r="L15" s="3">
        <f>IFERROR((Table8[[#This Row],[Units]]*Table8[[#This Row],[Cost]]),"")</f>
        <v>832.57440000000008</v>
      </c>
      <c r="M15" s="3"/>
    </row>
    <row r="16" spans="1:13" x14ac:dyDescent="0.35">
      <c r="A16" s="3"/>
      <c r="B16" s="3"/>
      <c r="C16" s="3"/>
      <c r="D16" s="3"/>
      <c r="E16" s="3"/>
      <c r="F16" s="3"/>
      <c r="G16" s="3" t="str">
        <f>IFERROR(VLOOKUP(Table8[[#This Row],[HSN No]],Table5[#All],2,0),"")</f>
        <v/>
      </c>
      <c r="H16" s="3" t="str">
        <f>IFERROR(VLOOKUP(Table8[[#This Row],[HSN No]],Table7[#All],3,0),"")</f>
        <v/>
      </c>
      <c r="I16" s="5"/>
      <c r="J16" s="3"/>
      <c r="K16" s="3" t="str">
        <f>IFERROR(VLOOKUP(Table8[[#This Row],[HSN No]],Products!F15:J26,4,0),"")</f>
        <v/>
      </c>
      <c r="L16" s="3" t="str">
        <f>IFERROR((Table8[[#This Row],[Units]]*Table8[[#This Row],[Cost]]),"")</f>
        <v/>
      </c>
      <c r="M16" s="3"/>
    </row>
    <row r="17" spans="1:13" x14ac:dyDescent="0.35">
      <c r="A17" s="3"/>
      <c r="B17" s="3"/>
      <c r="C17" s="3"/>
      <c r="D17" s="3"/>
      <c r="E17" s="3"/>
      <c r="F17" s="3"/>
      <c r="G17" s="3" t="str">
        <f>IFERROR(VLOOKUP(Table8[[#This Row],[HSN No]],Table5[#All],2,0),"")</f>
        <v/>
      </c>
      <c r="H17" s="3" t="str">
        <f>IFERROR(VLOOKUP(Table8[[#This Row],[HSN No]],Table7[#All],3,0),"")</f>
        <v/>
      </c>
      <c r="I17" s="5"/>
      <c r="J17" s="3"/>
      <c r="K17" s="3" t="str">
        <f>IFERROR(VLOOKUP(Table8[[#This Row],[HSN No]],Products!F16:J27,4,0),"")</f>
        <v/>
      </c>
      <c r="L17" s="3" t="str">
        <f>IFERROR((Table8[[#This Row],[Units]]*Table8[[#This Row],[Cost]]),"")</f>
        <v/>
      </c>
      <c r="M17" s="3"/>
    </row>
    <row r="18" spans="1:13" x14ac:dyDescent="0.35">
      <c r="A18" s="3"/>
      <c r="B18" s="3"/>
      <c r="C18" s="3"/>
      <c r="D18" s="3"/>
      <c r="E18" s="3"/>
      <c r="F18" s="3"/>
      <c r="G18" s="3" t="str">
        <f>IFERROR(VLOOKUP(Table8[[#This Row],[HSN No]],Table5[#All],2,0),"")</f>
        <v/>
      </c>
      <c r="H18" s="3" t="str">
        <f>IFERROR(VLOOKUP(Table8[[#This Row],[HSN No]],Table7[#All],3,0),"")</f>
        <v/>
      </c>
      <c r="I18" s="5"/>
      <c r="J18" s="3"/>
      <c r="K18" s="3" t="str">
        <f>IFERROR(VLOOKUP(Table8[[#This Row],[HSN No]],Products!F17:J28,4,0),"")</f>
        <v/>
      </c>
      <c r="L18" s="3" t="str">
        <f>IFERROR((Table8[[#This Row],[Units]]*Table8[[#This Row],[Cost]]),"")</f>
        <v/>
      </c>
      <c r="M18" s="3"/>
    </row>
    <row r="19" spans="1:13" x14ac:dyDescent="0.35">
      <c r="A19" s="3"/>
      <c r="B19" s="3"/>
      <c r="C19" s="3"/>
      <c r="D19" s="3"/>
      <c r="E19" s="3"/>
      <c r="F19" s="3"/>
      <c r="G19" s="3" t="str">
        <f>IFERROR(VLOOKUP(Table8[[#This Row],[HSN No]],Table5[#All],2,0),"")</f>
        <v/>
      </c>
      <c r="H19" s="3" t="str">
        <f>IFERROR(VLOOKUP(Table8[[#This Row],[HSN No]],Table7[#All],3,0),"")</f>
        <v/>
      </c>
      <c r="I19" s="5"/>
      <c r="J19" s="3"/>
      <c r="K19" s="3" t="str">
        <f>IFERROR(VLOOKUP(Table8[[#This Row],[HSN No]],Products!F18:J29,4,0),"")</f>
        <v/>
      </c>
      <c r="L19" s="3" t="str">
        <f>IFERROR((Table8[[#This Row],[Units]]*Table8[[#This Row],[Cost]]),"")</f>
        <v/>
      </c>
      <c r="M19" s="3"/>
    </row>
    <row r="20" spans="1:13" x14ac:dyDescent="0.35">
      <c r="A20" s="3"/>
      <c r="B20" s="3"/>
      <c r="C20" s="3"/>
      <c r="D20" s="3"/>
      <c r="E20" s="3"/>
      <c r="F20" s="3"/>
      <c r="G20" s="3" t="str">
        <f>IFERROR(VLOOKUP(Table8[[#This Row],[HSN No]],Table5[#All],2,0),"")</f>
        <v/>
      </c>
      <c r="H20" s="3" t="str">
        <f>IFERROR(VLOOKUP(Table8[[#This Row],[HSN No]],Table7[#All],3,0),"")</f>
        <v/>
      </c>
      <c r="I20" s="5"/>
      <c r="J20" s="3"/>
      <c r="K20" s="3" t="str">
        <f>IFERROR(VLOOKUP(Table8[[#This Row],[HSN No]],Products!F19:J30,4,0),"")</f>
        <v/>
      </c>
      <c r="L20" s="3" t="str">
        <f>IFERROR((Table8[[#This Row],[Units]]*Table8[[#This Row],[Cost]]),"")</f>
        <v/>
      </c>
      <c r="M20" s="3"/>
    </row>
    <row r="21" spans="1:13" x14ac:dyDescent="0.35">
      <c r="A21" s="3"/>
      <c r="B21" s="3"/>
      <c r="C21" s="3"/>
      <c r="D21" s="3"/>
      <c r="E21" s="3"/>
      <c r="F21" s="3"/>
      <c r="G21" s="3" t="str">
        <f>IFERROR(VLOOKUP(Table8[[#This Row],[HSN No]],Table5[#All],2,0),"")</f>
        <v/>
      </c>
      <c r="H21" s="3" t="str">
        <f>IFERROR(VLOOKUP(Table8[[#This Row],[HSN No]],Table7[#All],3,0),"")</f>
        <v/>
      </c>
      <c r="I21" s="5"/>
      <c r="J21" s="3"/>
      <c r="K21" s="3" t="str">
        <f>IFERROR(VLOOKUP(Table8[[#This Row],[HSN No]],Products!F20:J31,4,0),"")</f>
        <v/>
      </c>
      <c r="L21" s="3" t="str">
        <f>IFERROR((Table8[[#This Row],[Units]]*Table8[[#This Row],[Cost]]),"")</f>
        <v/>
      </c>
      <c r="M21" s="3"/>
    </row>
    <row r="22" spans="1:13" x14ac:dyDescent="0.35">
      <c r="A22" s="3"/>
      <c r="B22" s="3"/>
      <c r="C22" s="3"/>
      <c r="D22" s="3"/>
      <c r="E22" s="3"/>
      <c r="F22" s="3"/>
      <c r="G22" s="3" t="str">
        <f>IFERROR(VLOOKUP(Table8[[#This Row],[HSN No]],Table5[#All],2,0),"")</f>
        <v/>
      </c>
      <c r="H22" s="3" t="str">
        <f>IFERROR(VLOOKUP(Table8[[#This Row],[HSN No]],Table7[#All],3,0),"")</f>
        <v/>
      </c>
      <c r="I22" s="5"/>
      <c r="J22" s="3"/>
      <c r="K22" s="3" t="str">
        <f>IFERROR(VLOOKUP(Table8[[#This Row],[HSN No]],Products!F21:J32,4,0),"")</f>
        <v/>
      </c>
      <c r="L22" s="3" t="str">
        <f>IFERROR((Table8[[#This Row],[Units]]*Table8[[#This Row],[Cost]]),"")</f>
        <v/>
      </c>
      <c r="M22" s="3"/>
    </row>
    <row r="23" spans="1:13" x14ac:dyDescent="0.35">
      <c r="A23" s="3"/>
      <c r="B23" s="3"/>
      <c r="C23" s="3"/>
      <c r="D23" s="3"/>
      <c r="E23" s="3"/>
      <c r="F23" s="3"/>
      <c r="G23" s="3" t="str">
        <f>IFERROR(VLOOKUP(Table8[[#This Row],[HSN No]],Table5[#All],2,0),"")</f>
        <v/>
      </c>
      <c r="H23" s="3" t="str">
        <f>IFERROR(VLOOKUP(Table8[[#This Row],[HSN No]],Table7[#All],3,0),"")</f>
        <v/>
      </c>
      <c r="I23" s="5"/>
      <c r="J23" s="3"/>
      <c r="K23" s="3" t="str">
        <f>IFERROR(VLOOKUP(Table8[[#This Row],[HSN No]],Products!F22:J33,4,0),"")</f>
        <v/>
      </c>
      <c r="L23" s="3" t="str">
        <f>IFERROR((Table8[[#This Row],[Units]]*Table8[[#This Row],[Cost]]),"")</f>
        <v/>
      </c>
      <c r="M23" s="3"/>
    </row>
    <row r="24" spans="1:13" x14ac:dyDescent="0.35">
      <c r="A24" s="3"/>
      <c r="B24" s="3"/>
      <c r="C24" s="3"/>
      <c r="D24" s="3"/>
      <c r="E24" s="3"/>
      <c r="F24" s="3"/>
      <c r="G24" s="3" t="str">
        <f>IFERROR(VLOOKUP(Table8[[#This Row],[HSN No]],Table5[#All],2,0),"")</f>
        <v/>
      </c>
      <c r="H24" s="3" t="str">
        <f>IFERROR(VLOOKUP(Table8[[#This Row],[HSN No]],Table7[#All],3,0),"")</f>
        <v/>
      </c>
      <c r="I24" s="5"/>
      <c r="J24" s="3"/>
      <c r="K24" s="3" t="str">
        <f>IFERROR(VLOOKUP(Table8[[#This Row],[HSN No]],Products!F23:J34,4,0),"")</f>
        <v/>
      </c>
      <c r="L24" s="3" t="str">
        <f>IFERROR((Table8[[#This Row],[Units]]*Table8[[#This Row],[Cost]]),"")</f>
        <v/>
      </c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dataValidations count="1">
    <dataValidation type="list" allowBlank="1" showInputMessage="1" showErrorMessage="1" sqref="F9:F24">
      <formula1>HSN_No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showGridLines="0" showRowColHeaders="0" zoomScaleNormal="100" workbookViewId="0">
      <pane xSplit="5" ySplit="7" topLeftCell="F8" activePane="bottomRight" state="frozen"/>
      <selection activeCell="M11" sqref="M11"/>
      <selection pane="topRight" activeCell="M11" sqref="M11"/>
      <selection pane="bottomLeft" activeCell="M11" sqref="M11"/>
      <selection pane="bottomRight" activeCell="I21" sqref="I21"/>
    </sheetView>
  </sheetViews>
  <sheetFormatPr defaultRowHeight="14.5" x14ac:dyDescent="0.35"/>
  <cols>
    <col min="1" max="1" width="4.90625" style="2" customWidth="1"/>
    <col min="2" max="4" width="8.7265625" style="2"/>
    <col min="5" max="5" width="2.90625" style="2" customWidth="1"/>
    <col min="6" max="14" width="13" style="2" customWidth="1"/>
    <col min="15" max="16384" width="8.7265625" style="2"/>
  </cols>
  <sheetData>
    <row r="1" spans="1:1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s="3"/>
      <c r="B7" s="3"/>
      <c r="C7" s="3"/>
      <c r="D7" s="3"/>
      <c r="E7" s="3"/>
      <c r="F7" t="s">
        <v>99</v>
      </c>
      <c r="G7" t="s">
        <v>100</v>
      </c>
      <c r="H7" t="s">
        <v>90</v>
      </c>
      <c r="I7" t="s">
        <v>101</v>
      </c>
      <c r="J7" t="s">
        <v>93</v>
      </c>
      <c r="K7" t="s">
        <v>102</v>
      </c>
      <c r="L7" t="s">
        <v>96</v>
      </c>
      <c r="M7" t="s">
        <v>46</v>
      </c>
      <c r="N7" t="s">
        <v>95</v>
      </c>
      <c r="O7" s="3"/>
    </row>
    <row r="8" spans="1:15" x14ac:dyDescent="0.35">
      <c r="A8" s="3"/>
      <c r="B8" s="3"/>
      <c r="C8" s="3"/>
      <c r="D8" s="3"/>
      <c r="E8" s="3"/>
      <c r="F8">
        <v>5</v>
      </c>
      <c r="G8" t="str">
        <f>IFERROR(VLOOKUP(Table9[[#This Row],[Customer Id]],Table2[#All],2,0),"")</f>
        <v>Michael</v>
      </c>
      <c r="H8" t="s">
        <v>79</v>
      </c>
      <c r="I8" t="str">
        <f>IFERROR(VLOOKUP(Table9[[#This Row],[HSN No]],Table5[#All],2,0),"")</f>
        <v>Tables</v>
      </c>
      <c r="J8">
        <v>46122</v>
      </c>
      <c r="K8">
        <f>IFERROR(VLOOKUP(Table9[[#This Row],[HSN No]],Table10[#All],6,0),"")</f>
        <v>13</v>
      </c>
      <c r="L8">
        <v>6</v>
      </c>
      <c r="M8">
        <f>IFERROR(VLOOKUP(Table9[[#This Row],[HSN No]],Table5[#All],3,0),"")</f>
        <v>957.57749999999999</v>
      </c>
      <c r="N8">
        <f>IFERROR((Table9[[#This Row],[Price]]*Table9[[#This Row],[Units]]),"")</f>
        <v>5745.4650000000001</v>
      </c>
      <c r="O8" s="3"/>
    </row>
    <row r="9" spans="1:15" x14ac:dyDescent="0.35">
      <c r="A9" s="3"/>
      <c r="B9" s="3"/>
      <c r="C9" s="3"/>
      <c r="D9" s="3"/>
      <c r="E9" s="3"/>
      <c r="F9">
        <v>1</v>
      </c>
      <c r="G9" t="str">
        <f>IFERROR(VLOOKUP(Table9[[#This Row],[Customer Id]],Table2[#All],2,0),"")</f>
        <v>Camila</v>
      </c>
      <c r="H9" t="s">
        <v>82</v>
      </c>
      <c r="I9" t="str">
        <f>IFERROR(VLOOKUP(Table9[[#This Row],[HSN No]],Table5[#All],2,0),"")</f>
        <v>Art</v>
      </c>
      <c r="J9">
        <v>46123</v>
      </c>
      <c r="K9">
        <f>IFERROR(VLOOKUP(Table9[[#This Row],[HSN No]],Table10[#All],6,0),"")</f>
        <v>4</v>
      </c>
      <c r="L9">
        <v>7</v>
      </c>
      <c r="M9">
        <f>IFERROR(VLOOKUP(Table9[[#This Row],[HSN No]],Table5[#All],3,0),"")</f>
        <v>7.28</v>
      </c>
      <c r="N9">
        <f>IFERROR((Table9[[#This Row],[Price]]*Table9[[#This Row],[Units]]),"")</f>
        <v>50.96</v>
      </c>
      <c r="O9" s="3"/>
    </row>
    <row r="10" spans="1:15" x14ac:dyDescent="0.35">
      <c r="A10" s="3"/>
      <c r="B10" s="3"/>
      <c r="C10" s="3"/>
      <c r="D10" s="3"/>
      <c r="E10" s="3"/>
      <c r="F10">
        <v>6</v>
      </c>
      <c r="G10" t="str">
        <f>IFERROR(VLOOKUP(Table9[[#This Row],[Customer Id]],Table2[#All],2,0),"")</f>
        <v>Chloe</v>
      </c>
      <c r="H10" t="s">
        <v>82</v>
      </c>
      <c r="I10" t="str">
        <f>IFERROR(VLOOKUP(Table9[[#This Row],[HSN No]],Table5[#All],2,0),"")</f>
        <v>Art</v>
      </c>
      <c r="J10">
        <v>46124</v>
      </c>
      <c r="K10">
        <f>IFERROR(VLOOKUP(Table9[[#This Row],[HSN No]],Table10[#All],6,0),"")</f>
        <v>4</v>
      </c>
      <c r="L10">
        <v>7</v>
      </c>
      <c r="M10">
        <f>IFERROR(VLOOKUP(Table9[[#This Row],[HSN No]],Table5[#All],3,0),"")</f>
        <v>7.28</v>
      </c>
      <c r="N10">
        <f>IFERROR((Table9[[#This Row],[Price]]*Table9[[#This Row],[Units]]),"")</f>
        <v>50.96</v>
      </c>
      <c r="O10" s="3"/>
    </row>
    <row r="11" spans="1:15" x14ac:dyDescent="0.35">
      <c r="A11" s="3"/>
      <c r="B11" s="3"/>
      <c r="C11" s="3"/>
      <c r="D11" s="3"/>
      <c r="E11" s="3"/>
      <c r="F11">
        <v>6</v>
      </c>
      <c r="G11" t="str">
        <f>IFERROR(VLOOKUP(Table9[[#This Row],[Customer Id]],Table2[#All],2,0),"")</f>
        <v>Chloe</v>
      </c>
      <c r="H11" t="s">
        <v>82</v>
      </c>
      <c r="I11" t="str">
        <f>IFERROR(VLOOKUP(Table9[[#This Row],[HSN No]],Table5[#All],2,0),"")</f>
        <v>Art</v>
      </c>
      <c r="J11">
        <v>46125</v>
      </c>
      <c r="K11">
        <f>IFERROR(VLOOKUP(Table9[[#This Row],[HSN No]],Table10[#All],6,0),"")</f>
        <v>4</v>
      </c>
      <c r="L11">
        <v>5</v>
      </c>
      <c r="M11">
        <f>IFERROR(VLOOKUP(Table9[[#This Row],[HSN No]],Table5[#All],3,0),"")</f>
        <v>7.28</v>
      </c>
      <c r="N11">
        <f>IFERROR((Table9[[#This Row],[Price]]*Table9[[#This Row],[Units]]),"")</f>
        <v>36.4</v>
      </c>
      <c r="O11" s="3"/>
    </row>
    <row r="12" spans="1:15" x14ac:dyDescent="0.35">
      <c r="A12" s="3"/>
      <c r="B12" s="3"/>
      <c r="C12" s="3"/>
      <c r="D12" s="3"/>
      <c r="E12" s="3"/>
      <c r="F12">
        <v>10</v>
      </c>
      <c r="G12" t="str">
        <f>IFERROR(VLOOKUP(Table9[[#This Row],[Customer Id]],Table2[#All],2,0),"")</f>
        <v>Harper</v>
      </c>
      <c r="H12" t="s">
        <v>83</v>
      </c>
      <c r="I12" t="str">
        <f>IFERROR(VLOOKUP(Table9[[#This Row],[HSN No]],Table5[#All],2,0),"")</f>
        <v>Phones</v>
      </c>
      <c r="J12">
        <v>46126</v>
      </c>
      <c r="K12">
        <f>IFERROR(VLOOKUP(Table9[[#This Row],[HSN No]],Table10[#All],6,0),"")</f>
        <v>20</v>
      </c>
      <c r="L12">
        <v>3</v>
      </c>
      <c r="M12">
        <f>IFERROR(VLOOKUP(Table9[[#This Row],[HSN No]],Table5[#All],3,0),"")</f>
        <v>907.15200000000004</v>
      </c>
      <c r="N12">
        <f>IFERROR((Table9[[#This Row],[Price]]*Table9[[#This Row],[Units]]),"")</f>
        <v>2721.4560000000001</v>
      </c>
      <c r="O12" s="3"/>
    </row>
    <row r="13" spans="1:15" x14ac:dyDescent="0.35">
      <c r="A13" s="3"/>
      <c r="B13" s="3"/>
      <c r="C13" s="3"/>
      <c r="D13" s="3"/>
      <c r="E13" s="3"/>
      <c r="F13">
        <v>6</v>
      </c>
      <c r="G13" t="str">
        <f>IFERROR(VLOOKUP(Table9[[#This Row],[Customer Id]],Table2[#All],2,0),"")</f>
        <v>Chloe</v>
      </c>
      <c r="H13" t="s">
        <v>87</v>
      </c>
      <c r="I13" t="str">
        <f>IFERROR(VLOOKUP(Table9[[#This Row],[HSN No]],Table5[#All],2,0),"")</f>
        <v>Binders</v>
      </c>
      <c r="J13">
        <v>46127</v>
      </c>
      <c r="K13">
        <f>IFERROR(VLOOKUP(Table9[[#This Row],[HSN No]],Table10[#All],6,0),"")</f>
        <v>19</v>
      </c>
      <c r="L13">
        <v>4</v>
      </c>
      <c r="M13">
        <f>IFERROR(VLOOKUP(Table9[[#This Row],[HSN No]],Table5[#All],3,0),"")</f>
        <v>911.42399999999998</v>
      </c>
      <c r="N13">
        <f>IFERROR((Table9[[#This Row],[Price]]*Table9[[#This Row],[Units]]),"")</f>
        <v>3645.6959999999999</v>
      </c>
      <c r="O13" s="3"/>
    </row>
    <row r="14" spans="1:15" x14ac:dyDescent="0.35">
      <c r="A14" s="3"/>
      <c r="B14" s="3"/>
      <c r="C14" s="3"/>
      <c r="D14" s="3"/>
      <c r="E14" s="3"/>
      <c r="F14">
        <v>1</v>
      </c>
      <c r="G14" t="str">
        <f>IFERROR(VLOOKUP(Table9[[#This Row],[Customer Id]],Table2[#All],2,0),"")</f>
        <v>Camila</v>
      </c>
      <c r="H14" t="s">
        <v>78</v>
      </c>
      <c r="I14" t="str">
        <f>IFERROR(VLOOKUP(Table9[[#This Row],[HSN No]],Table5[#All],2,0),"")</f>
        <v>Labels</v>
      </c>
      <c r="J14">
        <v>46128</v>
      </c>
      <c r="K14">
        <f>IFERROR(VLOOKUP(Table9[[#This Row],[HSN No]],Table10[#All],6,0),"")</f>
        <v>17</v>
      </c>
      <c r="L14">
        <v>6</v>
      </c>
      <c r="M14">
        <f>IFERROR(VLOOKUP(Table9[[#This Row],[HSN No]],Table5[#All],3,0),"")</f>
        <v>14.62</v>
      </c>
      <c r="N14">
        <f>IFERROR((Table9[[#This Row],[Price]]*Table9[[#This Row],[Units]]),"")</f>
        <v>87.72</v>
      </c>
      <c r="O14" s="3"/>
    </row>
    <row r="15" spans="1:15" x14ac:dyDescent="0.35">
      <c r="A15" s="3"/>
      <c r="B15" s="3"/>
      <c r="C15" s="3"/>
      <c r="D15" s="3"/>
      <c r="E15" s="3"/>
      <c r="F15">
        <v>2</v>
      </c>
      <c r="G15" t="str">
        <f>IFERROR(VLOOKUP(Table9[[#This Row],[Customer Id]],Table2[#All],2,0),"")</f>
        <v>Alexander</v>
      </c>
      <c r="H15" t="s">
        <v>79</v>
      </c>
      <c r="I15" t="str">
        <f>IFERROR(VLOOKUP(Table9[[#This Row],[HSN No]],Table5[#All],2,0),"")</f>
        <v>Tables</v>
      </c>
      <c r="J15">
        <v>46129</v>
      </c>
      <c r="K15">
        <f>IFERROR(VLOOKUP(Table9[[#This Row],[HSN No]],Table10[#All],6,0),"")</f>
        <v>13</v>
      </c>
      <c r="L15">
        <v>4</v>
      </c>
      <c r="M15">
        <f>IFERROR(VLOOKUP(Table9[[#This Row],[HSN No]],Table5[#All],3,0),"")</f>
        <v>957.57749999999999</v>
      </c>
      <c r="N15">
        <f>IFERROR((Table9[[#This Row],[Price]]*Table9[[#This Row],[Units]]),"")</f>
        <v>3830.31</v>
      </c>
      <c r="O15" s="3"/>
    </row>
    <row r="16" spans="1:15" x14ac:dyDescent="0.35">
      <c r="A16" s="3"/>
      <c r="B16" s="3"/>
      <c r="C16" s="3"/>
      <c r="D16" s="3"/>
      <c r="E16" s="3"/>
      <c r="F16"/>
      <c r="G16" t="str">
        <f>IFERROR(VLOOKUP(Table9[[#This Row],[Customer Id]],Table2[#All],2,0),"")</f>
        <v/>
      </c>
      <c r="H16"/>
      <c r="I16" t="str">
        <f>IFERROR(VLOOKUP(Table9[[#This Row],[HSN No]],Table5[#All],2,0),"")</f>
        <v/>
      </c>
      <c r="J16"/>
      <c r="K16">
        <f>IFERROR(VLOOKUP(Table9[[#This Row],[HSN No]],Table10[#All],6,0),"")</f>
        <v>0</v>
      </c>
      <c r="L16"/>
      <c r="M16" t="str">
        <f>IFERROR(VLOOKUP(Table9[[#This Row],[HSN No]],Table5[#All],3,0),"")</f>
        <v/>
      </c>
      <c r="N16" t="str">
        <f>IFERROR((Table9[[#This Row],[Price]]*Table9[[#This Row],[Units]]),"")</f>
        <v/>
      </c>
      <c r="O16" s="3"/>
    </row>
    <row r="17" spans="1:15" x14ac:dyDescent="0.35">
      <c r="A17" s="3"/>
      <c r="B17" s="3"/>
      <c r="C17" s="3"/>
      <c r="D17" s="3"/>
      <c r="E17" s="3"/>
      <c r="F17"/>
      <c r="G17" t="str">
        <f>IFERROR(VLOOKUP(Table9[[#This Row],[Customer Id]],Table2[#All],2,0),"")</f>
        <v/>
      </c>
      <c r="H17"/>
      <c r="I17" t="str">
        <f>IFERROR(VLOOKUP(Table9[[#This Row],[HSN No]],Table5[#All],2,0),"")</f>
        <v/>
      </c>
      <c r="J17"/>
      <c r="K17">
        <f>IFERROR(VLOOKUP(Table9[[#This Row],[HSN No]],Table10[#All],6,0),"")</f>
        <v>0</v>
      </c>
      <c r="L17"/>
      <c r="M17" t="str">
        <f>IFERROR(VLOOKUP(Table9[[#This Row],[HSN No]],Table5[#All],3,0),"")</f>
        <v/>
      </c>
      <c r="N17" t="str">
        <f>IFERROR((Table9[[#This Row],[Price]]*Table9[[#This Row],[Units]]),"")</f>
        <v/>
      </c>
      <c r="O17" s="3"/>
    </row>
    <row r="18" spans="1:15" x14ac:dyDescent="0.35">
      <c r="A18" s="3"/>
      <c r="B18" s="3"/>
      <c r="C18" s="3"/>
      <c r="D18" s="3"/>
      <c r="E18" s="3"/>
      <c r="F18"/>
      <c r="G18" t="str">
        <f>IFERROR(VLOOKUP(Table9[[#This Row],[Customer Id]],Table2[#All],2,0),"")</f>
        <v/>
      </c>
      <c r="H18"/>
      <c r="I18" t="str">
        <f>IFERROR(VLOOKUP(Table9[[#This Row],[HSN No]],Table5[#All],2,0),"")</f>
        <v/>
      </c>
      <c r="J18"/>
      <c r="K18">
        <f>IFERROR(VLOOKUP(Table9[[#This Row],[HSN No]],Table10[#All],6,0),"")</f>
        <v>0</v>
      </c>
      <c r="L18"/>
      <c r="M18" t="str">
        <f>IFERROR(VLOOKUP(Table9[[#This Row],[HSN No]],Table5[#All],3,0),"")</f>
        <v/>
      </c>
      <c r="N18" t="str">
        <f>IFERROR((Table9[[#This Row],[Price]]*Table9[[#This Row],[Units]]),"")</f>
        <v/>
      </c>
      <c r="O18" s="3"/>
    </row>
    <row r="19" spans="1:15" x14ac:dyDescent="0.35">
      <c r="A19" s="3"/>
      <c r="B19" s="3"/>
      <c r="C19" s="3"/>
      <c r="D19" s="3"/>
      <c r="E19" s="3"/>
      <c r="F19"/>
      <c r="G19" t="str">
        <f>IFERROR(VLOOKUP(Table9[[#This Row],[Customer Id]],Table2[#All],2,0),"")</f>
        <v/>
      </c>
      <c r="H19"/>
      <c r="I19" t="str">
        <f>IFERROR(VLOOKUP(Table9[[#This Row],[HSN No]],Table5[#All],2,0),"")</f>
        <v/>
      </c>
      <c r="J19"/>
      <c r="K19">
        <f>IFERROR(VLOOKUP(Table9[[#This Row],[HSN No]],Table10[#All],6,0),"")</f>
        <v>0</v>
      </c>
      <c r="L19"/>
      <c r="M19" t="str">
        <f>IFERROR(VLOOKUP(Table9[[#This Row],[HSN No]],Table5[#All],3,0),"")</f>
        <v/>
      </c>
      <c r="N19" t="str">
        <f>IFERROR((Table9[[#This Row],[Price]]*Table9[[#This Row],[Units]]),"")</f>
        <v/>
      </c>
      <c r="O19" s="3"/>
    </row>
    <row r="20" spans="1:15" x14ac:dyDescent="0.35">
      <c r="A20" s="3"/>
      <c r="B20" s="3"/>
      <c r="C20" s="3"/>
      <c r="D20" s="3"/>
      <c r="E20" s="3"/>
      <c r="F20"/>
      <c r="G20" t="str">
        <f>IFERROR(VLOOKUP(Table9[[#This Row],[Customer Id]],Table2[#All],2,0),"")</f>
        <v/>
      </c>
      <c r="H20"/>
      <c r="I20" t="str">
        <f>IFERROR(VLOOKUP(Table9[[#This Row],[HSN No]],Table5[#All],2,0),"")</f>
        <v/>
      </c>
      <c r="J20"/>
      <c r="K20">
        <f>IFERROR(VLOOKUP(Table9[[#This Row],[HSN No]],Table10[#All],6,0),"")</f>
        <v>0</v>
      </c>
      <c r="L20"/>
      <c r="M20" t="str">
        <f>IFERROR(VLOOKUP(Table9[[#This Row],[HSN No]],Table5[#All],3,0),"")</f>
        <v/>
      </c>
      <c r="N20" t="str">
        <f>IFERROR((Table9[[#This Row],[Price]]*Table9[[#This Row],[Units]]),"")</f>
        <v/>
      </c>
      <c r="O20" s="3"/>
    </row>
    <row r="21" spans="1:15" x14ac:dyDescent="0.35">
      <c r="A21" s="3"/>
      <c r="B21" s="3"/>
      <c r="C21" s="3"/>
      <c r="D21" s="3"/>
      <c r="E21" s="3"/>
      <c r="F21"/>
      <c r="G21" t="str">
        <f>IFERROR(VLOOKUP(Table9[[#This Row],[Customer Id]],Table2[#All],2,0),"")</f>
        <v/>
      </c>
      <c r="H21"/>
      <c r="I21" t="str">
        <f>IFERROR(VLOOKUP(Table9[[#This Row],[HSN No]],Table5[#All],2,0),"")</f>
        <v/>
      </c>
      <c r="J21"/>
      <c r="K21">
        <f>IFERROR(VLOOKUP(Table9[[#This Row],[HSN No]],Table10[#All],6,0),"")</f>
        <v>0</v>
      </c>
      <c r="L21"/>
      <c r="M21" t="str">
        <f>IFERROR(VLOOKUP(Table9[[#This Row],[HSN No]],Table5[#All],3,0),"")</f>
        <v/>
      </c>
      <c r="N21" t="str">
        <f>IFERROR((Table9[[#This Row],[Price]]*Table9[[#This Row],[Units]]),"")</f>
        <v/>
      </c>
      <c r="O21" s="3"/>
    </row>
    <row r="22" spans="1:15" x14ac:dyDescent="0.35">
      <c r="A22" s="3"/>
      <c r="B22" s="3"/>
      <c r="C22" s="3"/>
      <c r="D22" s="3"/>
      <c r="E22" s="3"/>
      <c r="F22"/>
      <c r="G22" t="str">
        <f>IFERROR(VLOOKUP(Table9[[#This Row],[Customer Id]],Table2[#All],2,0),"")</f>
        <v/>
      </c>
      <c r="H22"/>
      <c r="I22" t="str">
        <f>IFERROR(VLOOKUP(Table9[[#This Row],[HSN No]],Table5[#All],2,0),"")</f>
        <v/>
      </c>
      <c r="J22"/>
      <c r="K22">
        <f>IFERROR(VLOOKUP(Table9[[#This Row],[HSN No]],Table10[#All],6,0),"")</f>
        <v>0</v>
      </c>
      <c r="L22"/>
      <c r="M22" t="str">
        <f>IFERROR(VLOOKUP(Table9[[#This Row],[HSN No]],Table5[#All],3,0),"")</f>
        <v/>
      </c>
      <c r="N22" t="str">
        <f>IFERROR((Table9[[#This Row],[Price]]*Table9[[#This Row],[Units]]),"")</f>
        <v/>
      </c>
      <c r="O22" s="3"/>
    </row>
    <row r="23" spans="1:15" x14ac:dyDescent="0.35">
      <c r="A23" s="3"/>
      <c r="B23" s="3"/>
      <c r="C23" s="3"/>
      <c r="D23" s="3"/>
      <c r="E23" s="3"/>
      <c r="F23"/>
      <c r="G23" t="str">
        <f>IFERROR(VLOOKUP(Table9[[#This Row],[Customer Id]],Table2[#All],2,0),"")</f>
        <v/>
      </c>
      <c r="H23"/>
      <c r="I23" t="str">
        <f>IFERROR(VLOOKUP(Table9[[#This Row],[HSN No]],Table5[#All],2,0),"")</f>
        <v/>
      </c>
      <c r="J23"/>
      <c r="K23">
        <f>IFERROR(VLOOKUP(Table9[[#This Row],[HSN No]],Table10[#All],6,0),"")</f>
        <v>0</v>
      </c>
      <c r="L23"/>
      <c r="M23" t="str">
        <f>IFERROR(VLOOKUP(Table9[[#This Row],[HSN No]],Table5[#All],3,0),"")</f>
        <v/>
      </c>
      <c r="N23" t="str">
        <f>IFERROR((Table9[[#This Row],[Price]]*Table9[[#This Row],[Units]]),"")</f>
        <v/>
      </c>
      <c r="O23" s="3"/>
    </row>
    <row r="24" spans="1:15" x14ac:dyDescent="0.35">
      <c r="A24" s="3"/>
      <c r="B24" s="3"/>
      <c r="C24" s="3"/>
      <c r="D24" s="3"/>
      <c r="E24" s="3"/>
      <c r="F24"/>
      <c r="G24" t="str">
        <f>IFERROR(VLOOKUP(Table9[[#This Row],[Customer Id]],Table2[#All],2,0),"")</f>
        <v/>
      </c>
      <c r="H24"/>
      <c r="I24" t="str">
        <f>IFERROR(VLOOKUP(Table9[[#This Row],[HSN No]],Table5[#All],2,0),"")</f>
        <v/>
      </c>
      <c r="J24"/>
      <c r="K24">
        <f>IFERROR(VLOOKUP(Table9[[#This Row],[HSN No]],Table10[#All],6,0),"")</f>
        <v>0</v>
      </c>
      <c r="L24"/>
      <c r="M24" t="str">
        <f>IFERROR(VLOOKUP(Table9[[#This Row],[HSN No]],Table5[#All],3,0),"")</f>
        <v/>
      </c>
      <c r="N24" t="str">
        <f>IFERROR((Table9[[#This Row],[Price]]*Table9[[#This Row],[Units]]),"")</f>
        <v/>
      </c>
      <c r="O24" s="3"/>
    </row>
    <row r="25" spans="1:15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</sheetData>
  <dataValidations count="2">
    <dataValidation type="list" allowBlank="1" showInputMessage="1" showErrorMessage="1" sqref="F8:F24">
      <formula1>cid</formula1>
    </dataValidation>
    <dataValidation type="list" allowBlank="1" showInputMessage="1" showErrorMessage="1" sqref="H8:H24">
      <formula1>HSN_No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showGridLines="0" showRowColHeaders="0" topLeftCell="A3" zoomScaleNormal="100" workbookViewId="0">
      <pane xSplit="5" ySplit="5" topLeftCell="F8" activePane="bottomRight" state="frozen"/>
      <selection activeCell="M11" sqref="M11"/>
      <selection pane="topRight" activeCell="M11" sqref="M11"/>
      <selection pane="bottomLeft" activeCell="M11" sqref="M11"/>
      <selection pane="bottomRight" activeCell="O22" sqref="O22"/>
    </sheetView>
  </sheetViews>
  <sheetFormatPr defaultRowHeight="14.5" x14ac:dyDescent="0.35"/>
  <cols>
    <col min="1" max="1" width="4.90625" style="2" customWidth="1"/>
    <col min="2" max="4" width="8.7265625" style="2"/>
    <col min="5" max="5" width="2.81640625" style="2" customWidth="1"/>
    <col min="6" max="12" width="13.90625" style="2" customWidth="1"/>
    <col min="13" max="13" width="34.54296875" style="2" hidden="1" customWidth="1"/>
    <col min="14" max="14" width="13.6328125" style="2" customWidth="1"/>
    <col min="15" max="15" width="13.08984375" style="2" customWidth="1"/>
    <col min="16" max="16" width="38.1796875" style="2" customWidth="1"/>
    <col min="17" max="17" width="11.1796875" style="2" customWidth="1"/>
    <col min="18" max="18" width="17.6328125" style="2" customWidth="1"/>
    <col min="19" max="19" width="48.26953125" style="2" customWidth="1"/>
    <col min="20" max="20" width="11.7265625" style="2" customWidth="1"/>
    <col min="21" max="21" width="9.6328125" style="2" customWidth="1"/>
    <col min="22" max="22" width="40.36328125" style="2" customWidth="1"/>
    <col min="23" max="23" width="30.36328125" style="2" customWidth="1"/>
    <col min="24" max="24" width="25.6328125" style="2" customWidth="1"/>
    <col min="25" max="25" width="7.7265625" style="2" customWidth="1"/>
    <col min="26" max="26" width="13" style="2" customWidth="1"/>
    <col min="27" max="16384" width="8.7265625" style="2"/>
  </cols>
  <sheetData>
    <row r="3" spans="1:14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5">
      <c r="A7" s="3"/>
      <c r="B7" s="3"/>
      <c r="C7" s="3"/>
      <c r="D7" s="3"/>
      <c r="E7" s="3"/>
      <c r="F7" t="s">
        <v>90</v>
      </c>
      <c r="G7" t="s">
        <v>101</v>
      </c>
      <c r="H7" t="s">
        <v>94</v>
      </c>
      <c r="I7" t="s">
        <v>103</v>
      </c>
      <c r="J7" t="s">
        <v>106</v>
      </c>
      <c r="K7" t="s">
        <v>104</v>
      </c>
      <c r="L7" t="s">
        <v>105</v>
      </c>
      <c r="M7" s="4" t="s">
        <v>132</v>
      </c>
      <c r="N7" s="3"/>
    </row>
    <row r="8" spans="1:14" x14ac:dyDescent="0.35">
      <c r="A8" s="3"/>
      <c r="B8" s="3"/>
      <c r="C8" s="3"/>
      <c r="D8" s="3"/>
      <c r="E8" s="3"/>
      <c r="F8" t="str">
        <f>IFERROR((Products!F9),"")</f>
        <v>N001</v>
      </c>
      <c r="G8" t="str">
        <f>IFERROR((Products!G9),"")</f>
        <v>Bookcases</v>
      </c>
      <c r="H8">
        <f>IFERROR((Products!H9),"")</f>
        <v>261.95999999999998</v>
      </c>
      <c r="I8">
        <f>SUMIF(Products!G9:G20,Inventory!G8:G19,Table8[Units])</f>
        <v>23</v>
      </c>
      <c r="J8">
        <f>SUMIF(Table9[Product Name],Table10[[#This Row],[Product Name]],Table9[Units])</f>
        <v>0</v>
      </c>
      <c r="K8">
        <f>Table10[[#This Row],[P Units]]-Table10[[#This Row],[S Units]]</f>
        <v>23</v>
      </c>
      <c r="L8">
        <f>Table10[[#This Row],[Cost]]*Table10[[#This Row],[Stock]]</f>
        <v>6025.08</v>
      </c>
      <c r="M8" s="3" t="str">
        <f>IFERROR(IF(Table10[[#This Row],[Stock]]&lt;10,"📞 "&amp;Table10[[#This Row],[Product Name]]&amp;" Needs to re-order! PH"&amp;VLOOKUP(Table10[[#This Row],[HSN No]],Vendors!F7:L21,7,0),""),"")</f>
        <v/>
      </c>
      <c r="N8" s="3"/>
    </row>
    <row r="9" spans="1:14" x14ac:dyDescent="0.35">
      <c r="A9" s="3"/>
      <c r="B9" s="3"/>
      <c r="C9" s="3"/>
      <c r="D9" s="3"/>
      <c r="E9" s="3"/>
      <c r="F9" t="str">
        <f>IFERROR((Products!F10),"")</f>
        <v>N002</v>
      </c>
      <c r="G9" t="str">
        <f>IFERROR((Products!G10),"")</f>
        <v>Chairs</v>
      </c>
      <c r="H9">
        <f>IFERROR((Products!H10),"")</f>
        <v>731.94</v>
      </c>
      <c r="I9">
        <f>SUMIF(Products!G10:G21,Inventory!G9:G20,Table8[Units])</f>
        <v>23</v>
      </c>
      <c r="J9">
        <f>SUMIF(Table9[Product Name],Table10[[#This Row],[Product Name]],Table9[Units])</f>
        <v>0</v>
      </c>
      <c r="K9">
        <f>Table10[[#This Row],[P Units]]-Table10[[#This Row],[S Units]]</f>
        <v>23</v>
      </c>
      <c r="L9">
        <f>Table10[[#This Row],[Cost]]*Table10[[#This Row],[Stock]]</f>
        <v>16834.620000000003</v>
      </c>
      <c r="M9" s="3" t="str">
        <f>IFERROR(IF(Table10[[#This Row],[Stock]]&lt;10,"📞 "&amp;Table10[[#This Row],[Product Name]]&amp;" Needs to re-order! PH"&amp;VLOOKUP(Table10[[#This Row],[HSN No]],Vendors!F8:L22,7,0),""),"")</f>
        <v/>
      </c>
      <c r="N9" s="3"/>
    </row>
    <row r="10" spans="1:14" x14ac:dyDescent="0.35">
      <c r="A10" s="3"/>
      <c r="B10" s="3"/>
      <c r="C10" s="3"/>
      <c r="D10" s="3"/>
      <c r="E10" s="3"/>
      <c r="F10" t="str">
        <f>IFERROR((Products!F11),"")</f>
        <v>N003</v>
      </c>
      <c r="G10" t="str">
        <f>IFERROR((Products!G11),"")</f>
        <v>Labels</v>
      </c>
      <c r="H10">
        <f>IFERROR((Products!H11),"")</f>
        <v>14.62</v>
      </c>
      <c r="I10">
        <f>SUMIF(Products!G11:G22,Inventory!G10:G21,Table8[Units])</f>
        <v>23</v>
      </c>
      <c r="J10">
        <f>SUMIF(Table9[Product Name],Table10[[#This Row],[Product Name]],Table9[Units])</f>
        <v>6</v>
      </c>
      <c r="K10">
        <f>Table10[[#This Row],[P Units]]-Table10[[#This Row],[S Units]]</f>
        <v>17</v>
      </c>
      <c r="L10">
        <f>Table10[[#This Row],[Cost]]*Table10[[#This Row],[Stock]]</f>
        <v>248.54</v>
      </c>
      <c r="M10" s="3" t="str">
        <f>IFERROR(IF(Table10[[#This Row],[Stock]]&lt;10,"📞 "&amp;Table10[[#This Row],[Product Name]]&amp;" Needs to re-order! PH"&amp;VLOOKUP(Table10[[#This Row],[HSN No]],Vendors!F9:L23,7,0),""),"")</f>
        <v/>
      </c>
      <c r="N10" s="3"/>
    </row>
    <row r="11" spans="1:14" x14ac:dyDescent="0.35">
      <c r="A11" s="3"/>
      <c r="B11" s="3"/>
      <c r="C11" s="3"/>
      <c r="D11" s="3"/>
      <c r="E11" s="3"/>
      <c r="F11" t="str">
        <f>IFERROR((Products!F12),"")</f>
        <v>N004</v>
      </c>
      <c r="G11" t="str">
        <f>IFERROR((Products!G12),"")</f>
        <v>Tables</v>
      </c>
      <c r="H11">
        <f>IFERROR((Products!H12),"")</f>
        <v>957.57749999999999</v>
      </c>
      <c r="I11">
        <f>SUMIF(Products!G12:G23,Inventory!G11:G22,Table8[Units])</f>
        <v>23</v>
      </c>
      <c r="J11">
        <f>SUMIF(Table9[Product Name],Table10[[#This Row],[Product Name]],Table9[Units])</f>
        <v>10</v>
      </c>
      <c r="K11">
        <f>Table10[[#This Row],[P Units]]-Table10[[#This Row],[S Units]]</f>
        <v>13</v>
      </c>
      <c r="L11">
        <f>Table10[[#This Row],[Cost]]*Table10[[#This Row],[Stock]]</f>
        <v>12448.5075</v>
      </c>
      <c r="M11" s="3" t="str">
        <f>IFERROR(IF(Table10[[#This Row],[Stock]]&lt;10,"📞 "&amp;Table10[[#This Row],[Product Name]]&amp;" Needs to re-order! PH"&amp;VLOOKUP(Table10[[#This Row],[HSN No]],Vendors!F10:L24,7,0),""),"")</f>
        <v/>
      </c>
      <c r="N11" s="3"/>
    </row>
    <row r="12" spans="1:14" x14ac:dyDescent="0.35">
      <c r="A12" s="3"/>
      <c r="B12" s="3"/>
      <c r="C12" s="3"/>
      <c r="D12" s="3"/>
      <c r="E12" s="3"/>
      <c r="F12" t="str">
        <f>IFERROR((Products!F13),"")</f>
        <v>N005</v>
      </c>
      <c r="G12" t="str">
        <f>IFERROR((Products!G13),"")</f>
        <v>Storage</v>
      </c>
      <c r="H12">
        <f>IFERROR((Products!H13),"")</f>
        <v>22.367999999999999</v>
      </c>
      <c r="I12">
        <f>SUMIF(Products!G13:G24,Inventory!G12:G23,Table8[Units])</f>
        <v>23</v>
      </c>
      <c r="J12">
        <f>SUMIF(Table9[Product Name],Table10[[#This Row],[Product Name]],Table9[Units])</f>
        <v>0</v>
      </c>
      <c r="K12">
        <f>Table10[[#This Row],[P Units]]-Table10[[#This Row],[S Units]]</f>
        <v>23</v>
      </c>
      <c r="L12">
        <f>Table10[[#This Row],[Cost]]*Table10[[#This Row],[Stock]]</f>
        <v>514.46399999999994</v>
      </c>
      <c r="M12" s="3" t="str">
        <f>IFERROR(IF(Table10[[#This Row],[Stock]]&lt;10,"📞 "&amp;Table10[[#This Row],[Product Name]]&amp;" Needs to re-order! PH"&amp;VLOOKUP(Table10[[#This Row],[HSN No]],Vendors!F11:L25,7,0),""),"")</f>
        <v/>
      </c>
      <c r="N12" s="3"/>
    </row>
    <row r="13" spans="1:14" x14ac:dyDescent="0.35">
      <c r="A13" s="3"/>
      <c r="B13" s="3"/>
      <c r="C13" s="3"/>
      <c r="D13" s="3"/>
      <c r="E13" s="3"/>
      <c r="F13" t="str">
        <f>IFERROR((Products!F14),"")</f>
        <v>N006</v>
      </c>
      <c r="G13" t="str">
        <f>IFERROR((Products!G14),"")</f>
        <v>Furnishings</v>
      </c>
      <c r="H13">
        <f>IFERROR((Products!H14),"")</f>
        <v>48.86</v>
      </c>
      <c r="I13">
        <f>SUMIF(Products!G14:G25,Inventory!G13:G24,Table8[Units])</f>
        <v>23</v>
      </c>
      <c r="J13">
        <f>SUMIF(Table9[Product Name],Table10[[#This Row],[Product Name]],Table9[Units])</f>
        <v>0</v>
      </c>
      <c r="K13">
        <f>Table10[[#This Row],[P Units]]-Table10[[#This Row],[S Units]]</f>
        <v>23</v>
      </c>
      <c r="L13">
        <f>Table10[[#This Row],[Cost]]*Table10[[#This Row],[Stock]]</f>
        <v>1123.78</v>
      </c>
      <c r="M13" s="3" t="str">
        <f>IFERROR(IF(Table10[[#This Row],[Stock]]&lt;10,"📞 "&amp;Table10[[#This Row],[Product Name]]&amp;" Needs to re-order! PH"&amp;VLOOKUP(Table10[[#This Row],[HSN No]],Vendors!F12:L26,7,0),""),"")</f>
        <v/>
      </c>
      <c r="N13" s="3"/>
    </row>
    <row r="14" spans="1:14" x14ac:dyDescent="0.35">
      <c r="A14" s="3"/>
      <c r="B14" s="3"/>
      <c r="C14" s="3"/>
      <c r="D14" s="3"/>
      <c r="E14" s="3"/>
      <c r="F14" t="str">
        <f>IFERROR((Products!F15),"")</f>
        <v>N007</v>
      </c>
      <c r="G14" t="str">
        <f>IFERROR((Products!G15),"")</f>
        <v>Art</v>
      </c>
      <c r="H14">
        <f>IFERROR((Products!H15),"")</f>
        <v>7.28</v>
      </c>
      <c r="I14">
        <f>SUMIF(Products!G15:G26,Inventory!G14:G25,Table8[Units])</f>
        <v>23</v>
      </c>
      <c r="J14">
        <f>SUMIF(Table9[Product Name],Table10[[#This Row],[Product Name]],Table9[Units])</f>
        <v>19</v>
      </c>
      <c r="K14">
        <f>Table10[[#This Row],[P Units]]-Table10[[#This Row],[S Units]]</f>
        <v>4</v>
      </c>
      <c r="L14">
        <f>Table10[[#This Row],[Cost]]*Table10[[#This Row],[Stock]]</f>
        <v>29.12</v>
      </c>
      <c r="M14" s="3" t="str">
        <f>IFERROR(IF(Table10[[#This Row],[Stock]]&lt;10,"📞 "&amp;Table10[[#This Row],[Product Name]]&amp;" Needs to re-order! PH"&amp;VLOOKUP(Table10[[#This Row],[HSN No]],Vendors!F13:L27,7,0),""),"")</f>
        <v>📞 Art Needs to re-order! PH013#######</v>
      </c>
      <c r="N14" s="3"/>
    </row>
    <row r="15" spans="1:14" x14ac:dyDescent="0.35">
      <c r="A15" s="3"/>
      <c r="B15" s="3"/>
      <c r="C15" s="3"/>
      <c r="D15" s="3"/>
      <c r="E15" s="3"/>
      <c r="F15" t="str">
        <f>IFERROR((Products!F16),"")</f>
        <v>N008</v>
      </c>
      <c r="G15" t="str">
        <f>IFERROR((Products!G16),"")</f>
        <v>Phones</v>
      </c>
      <c r="H15">
        <f>IFERROR((Products!H16),"")</f>
        <v>907.15200000000004</v>
      </c>
      <c r="I15">
        <f>SUMIF(Products!G16:G27,Inventory!G15:G26,Table8[Units])</f>
        <v>23</v>
      </c>
      <c r="J15">
        <f>SUMIF(Table9[Product Name],Table10[[#This Row],[Product Name]],Table9[Units])</f>
        <v>3</v>
      </c>
      <c r="K15">
        <f>Table10[[#This Row],[P Units]]-Table10[[#This Row],[S Units]]</f>
        <v>20</v>
      </c>
      <c r="L15">
        <f>Table10[[#This Row],[Cost]]*Table10[[#This Row],[Stock]]</f>
        <v>18143.04</v>
      </c>
      <c r="M15" s="3" t="str">
        <f>IFERROR(IF(Table10[[#This Row],[Stock]]&lt;10,"📞 "&amp;Table10[[#This Row],[Product Name]]&amp;" Needs to re-order! PH"&amp;VLOOKUP(Table10[[#This Row],[HSN No]],Vendors!F14:L28,7,0),""),"")</f>
        <v/>
      </c>
      <c r="N15" s="3"/>
    </row>
    <row r="16" spans="1:14" x14ac:dyDescent="0.35">
      <c r="A16" s="3"/>
      <c r="B16" s="3"/>
      <c r="C16" s="3"/>
      <c r="D16" s="3"/>
      <c r="E16" s="3"/>
      <c r="F16" t="str">
        <f>IFERROR((Products!F17),"")</f>
        <v>N009</v>
      </c>
      <c r="G16" t="str">
        <f>IFERROR((Products!G17),"")</f>
        <v>Binders</v>
      </c>
      <c r="H16">
        <f>IFERROR((Products!H17),"")</f>
        <v>18.504000000000001</v>
      </c>
      <c r="I16">
        <f>SUMIF(Products!G17:G28,Inventory!G16:G27,Table8[Units])</f>
        <v>68</v>
      </c>
      <c r="J16">
        <f>SUMIF(Table9[Product Name],Table10[[#This Row],[Product Name]],Table9[Units])</f>
        <v>4</v>
      </c>
      <c r="K16">
        <f>Table10[[#This Row],[P Units]]-Table10[[#This Row],[S Units]]</f>
        <v>64</v>
      </c>
      <c r="L16">
        <f>Table10[[#This Row],[Cost]]*Table10[[#This Row],[Stock]]</f>
        <v>1184.2560000000001</v>
      </c>
      <c r="M16" s="3" t="str">
        <f>IFERROR(IF(Table10[[#This Row],[Stock]]&lt;10,"📞 "&amp;Table10[[#This Row],[Product Name]]&amp;" Needs to re-order! PH"&amp;VLOOKUP(Table10[[#This Row],[HSN No]],Vendors!F15:L29,7,0),""),"")</f>
        <v/>
      </c>
      <c r="N16" s="3"/>
    </row>
    <row r="17" spans="1:14" x14ac:dyDescent="0.35">
      <c r="A17" s="3"/>
      <c r="B17" s="3"/>
      <c r="C17" s="3"/>
      <c r="D17" s="3"/>
      <c r="E17" s="3"/>
      <c r="F17" t="str">
        <f>IFERROR((Products!F18),"")</f>
        <v>N010</v>
      </c>
      <c r="G17" t="str">
        <f>IFERROR((Products!G18),"")</f>
        <v>Appliances</v>
      </c>
      <c r="H17">
        <f>IFERROR((Products!H18),"")</f>
        <v>114.9</v>
      </c>
      <c r="I17">
        <f>SUMIF(Products!G18:G29,Inventory!G17:G28,Table8[Units])</f>
        <v>23</v>
      </c>
      <c r="J17">
        <f>SUMIF(Table9[Product Name],Table10[[#This Row],[Product Name]],Table9[Units])</f>
        <v>0</v>
      </c>
      <c r="K17">
        <f>Table10[[#This Row],[P Units]]-Table10[[#This Row],[S Units]]</f>
        <v>23</v>
      </c>
      <c r="L17">
        <f>Table10[[#This Row],[Cost]]*Table10[[#This Row],[Stock]]</f>
        <v>2642.7000000000003</v>
      </c>
      <c r="M17" s="3" t="str">
        <f>IFERROR(IF(Table10[[#This Row],[Stock]]&lt;10,"📞 "&amp;Table10[[#This Row],[Product Name]]&amp;" Needs to re-order! PH"&amp;VLOOKUP(Table10[[#This Row],[HSN No]],Vendors!F16:L30,7,0),""),"")</f>
        <v/>
      </c>
      <c r="N17" s="3"/>
    </row>
    <row r="18" spans="1:14" x14ac:dyDescent="0.35">
      <c r="A18" s="3"/>
      <c r="B18" s="3"/>
      <c r="C18" s="3"/>
      <c r="D18" s="3"/>
      <c r="E18" s="3"/>
      <c r="F18" t="str">
        <f>IFERROR((Products!F19),"")</f>
        <v>N011</v>
      </c>
      <c r="G18" t="str">
        <f>IFERROR((Products!G19),"")</f>
        <v>Paper</v>
      </c>
      <c r="H18">
        <f>IFERROR((Products!H19),"")</f>
        <v>1706.184</v>
      </c>
      <c r="I18">
        <f>SUMIF(Products!G19:G30,Inventory!G18:G29,Table8[Units])</f>
        <v>23</v>
      </c>
      <c r="J18">
        <f>SUMIF(Table9[Product Name],Table10[[#This Row],[Product Name]],Table9[Units])</f>
        <v>0</v>
      </c>
      <c r="K18">
        <f>Table10[[#This Row],[P Units]]-Table10[[#This Row],[S Units]]</f>
        <v>23</v>
      </c>
      <c r="L18">
        <f>Table10[[#This Row],[Cost]]*Table10[[#This Row],[Stock]]</f>
        <v>39242.231999999996</v>
      </c>
      <c r="M18" s="3" t="str">
        <f>IFERROR(IF(Table10[[#This Row],[Stock]]&lt;10,"📞 "&amp;Table10[[#This Row],[Product Name]]&amp;" Needs to re-order! PH"&amp;VLOOKUP(Table10[[#This Row],[HSN No]],Vendors!F17:L31,7,0),""),"")</f>
        <v/>
      </c>
      <c r="N18" s="3"/>
    </row>
    <row r="19" spans="1:14" x14ac:dyDescent="0.35">
      <c r="A19" s="3"/>
      <c r="B19" s="3"/>
      <c r="C19" s="3"/>
      <c r="D19" s="3"/>
      <c r="E19" s="3"/>
      <c r="F19" t="str">
        <f>IFERROR((Products!F20),"")</f>
        <v>N012</v>
      </c>
      <c r="G19" t="str">
        <f>IFERROR((Products!G20),"")</f>
        <v>Binders</v>
      </c>
      <c r="H19">
        <f>IFERROR((Products!H20),"")</f>
        <v>911.42399999999998</v>
      </c>
      <c r="I19">
        <f>SUMIF(Products!G20:G31,Inventory!G19:G30,Table8[Units])</f>
        <v>23</v>
      </c>
      <c r="J19">
        <f>SUMIF(Table9[Product Name],Table10[[#This Row],[Product Name]],Table9[Units])</f>
        <v>4</v>
      </c>
      <c r="K19">
        <f>Table10[[#This Row],[P Units]]-Table10[[#This Row],[S Units]]</f>
        <v>19</v>
      </c>
      <c r="L19">
        <f>Table10[[#This Row],[Cost]]*Table10[[#This Row],[Stock]]</f>
        <v>17317.056</v>
      </c>
      <c r="M19" s="3" t="str">
        <f>IFERROR(IF(Table10[[#This Row],[Stock]]&lt;10,"📞 "&amp;Table10[[#This Row],[Product Name]]&amp;" Needs to re-order! PH"&amp;VLOOKUP(Table10[[#This Row],[HSN No]],Vendors!F18:L32,7,0),""),"")</f>
        <v/>
      </c>
      <c r="N19" s="3"/>
    </row>
    <row r="20" spans="1:14" x14ac:dyDescent="0.35">
      <c r="A20" s="3"/>
      <c r="B20" s="3"/>
      <c r="C20" s="3"/>
      <c r="D20" s="3"/>
      <c r="E20" s="3"/>
      <c r="F20">
        <f>IFERROR((Products!F21),"")</f>
        <v>0</v>
      </c>
      <c r="G20">
        <f>IFERROR((Products!G21),"")</f>
        <v>0</v>
      </c>
      <c r="H20">
        <f>IFERROR((Products!H21),"")</f>
        <v>0</v>
      </c>
      <c r="I20">
        <f>SUMIF(Products!G21:G32,Inventory!G20:G31,Table8[Units])</f>
        <v>0</v>
      </c>
      <c r="J20">
        <f>SUMIF(Table9[Product Name],Table10[[#This Row],[Product Name]],Table9[Units])</f>
        <v>0</v>
      </c>
      <c r="K20">
        <f>Table10[[#This Row],[P Units]]-Table10[[#This Row],[S Units]]</f>
        <v>0</v>
      </c>
      <c r="L20">
        <f>Table10[[#This Row],[Cost]]*Table10[[#This Row],[Stock]]</f>
        <v>0</v>
      </c>
      <c r="M20" s="3" t="str">
        <f>IFERROR(IF(Table10[[#This Row],[Stock]]&lt;10,"📞 "&amp;Table10[[#This Row],[Product Name]]&amp;" Needs to re-order! PH"&amp;VLOOKUP(Table10[[#This Row],[HSN No]],Vendors!F19:L33,7,0),""),"")</f>
        <v/>
      </c>
      <c r="N20" s="3"/>
    </row>
    <row r="21" spans="1:14" x14ac:dyDescent="0.35">
      <c r="A21" s="3"/>
      <c r="B21" s="3"/>
      <c r="C21" s="3"/>
      <c r="D21" s="3"/>
      <c r="E21" s="3"/>
      <c r="F21">
        <f>IFERROR((Products!F22),"")</f>
        <v>0</v>
      </c>
      <c r="G21">
        <f>IFERROR((Products!G22),"")</f>
        <v>0</v>
      </c>
      <c r="H21">
        <f>IFERROR((Products!H22),"")</f>
        <v>0</v>
      </c>
      <c r="I21">
        <f>SUMIF(Products!G22:G33,Inventory!G21:G32,Table8[Units])</f>
        <v>0</v>
      </c>
      <c r="J21">
        <f>SUMIF(Table9[Product Name],Table10[[#This Row],[Product Name]],Table9[Units])</f>
        <v>0</v>
      </c>
      <c r="K21">
        <f>Table10[[#This Row],[P Units]]-Table10[[#This Row],[S Units]]</f>
        <v>0</v>
      </c>
      <c r="L21">
        <f>Table10[[#This Row],[Cost]]*Table10[[#This Row],[Stock]]</f>
        <v>0</v>
      </c>
      <c r="M21" s="3" t="str">
        <f>IFERROR(IF(Table10[[#This Row],[Stock]]&lt;10,"📞 "&amp;Table10[[#This Row],[Product Name]]&amp;" Needs to re-order! PH"&amp;VLOOKUP(Table10[[#This Row],[HSN No]],Vendors!F20:L34,7,0),""),"")</f>
        <v/>
      </c>
      <c r="N21" s="3"/>
    </row>
    <row r="22" spans="1:14" x14ac:dyDescent="0.35">
      <c r="A22" s="3"/>
      <c r="B22" s="3"/>
      <c r="C22" s="3"/>
      <c r="D22" s="3"/>
      <c r="E22" s="3"/>
      <c r="F22">
        <f>IFERROR((Products!F23),"")</f>
        <v>0</v>
      </c>
      <c r="G22">
        <f>IFERROR((Products!G23),"")</f>
        <v>0</v>
      </c>
      <c r="H22">
        <f>IFERROR((Products!H23),"")</f>
        <v>0</v>
      </c>
      <c r="I22">
        <f>SUMIF(Products!G23:G34,Inventory!G22:G33,Table8[Units])</f>
        <v>0</v>
      </c>
      <c r="J22">
        <f>SUMIF(Table9[Product Name],Table10[[#This Row],[Product Name]],Table9[Units])</f>
        <v>0</v>
      </c>
      <c r="K22">
        <f>Table10[[#This Row],[P Units]]-Table10[[#This Row],[S Units]]</f>
        <v>0</v>
      </c>
      <c r="L22">
        <f>Table10[[#This Row],[Cost]]*Table10[[#This Row],[Stock]]</f>
        <v>0</v>
      </c>
      <c r="M22" s="3" t="str">
        <f>IFERROR(IF(Table10[[#This Row],[Stock]]&lt;10,"📞 "&amp;Table10[[#This Row],[Product Name]]&amp;" Needs to re-order! PH"&amp;VLOOKUP(Table10[[#This Row],[HSN No]],Vendors!F21:L35,7,0),""),"")</f>
        <v/>
      </c>
      <c r="N22" s="3"/>
    </row>
    <row r="23" spans="1:14" x14ac:dyDescent="0.35">
      <c r="A23" s="3"/>
      <c r="B23" s="3"/>
      <c r="C23" s="3"/>
      <c r="D23" s="3"/>
      <c r="E23" s="3"/>
      <c r="F23">
        <f>IFERROR((Products!F24),"")</f>
        <v>0</v>
      </c>
      <c r="G23">
        <f>IFERROR((Products!G24),"")</f>
        <v>0</v>
      </c>
      <c r="H23">
        <f>IFERROR((Products!H24),"")</f>
        <v>0</v>
      </c>
      <c r="I23">
        <f>SUMIF(Products!G24:G35,Inventory!G23:G34,Table8[Units])</f>
        <v>0</v>
      </c>
      <c r="J23">
        <f>SUMIF(Table9[Product Name],Table10[[#This Row],[Product Name]],Table9[Units])</f>
        <v>0</v>
      </c>
      <c r="K23">
        <f>Table10[[#This Row],[P Units]]-Table10[[#This Row],[S Units]]</f>
        <v>0</v>
      </c>
      <c r="L23">
        <f>Table10[[#This Row],[Cost]]*Table10[[#This Row],[Stock]]</f>
        <v>0</v>
      </c>
      <c r="M23" s="3" t="str">
        <f>IFERROR(IF(Table10[[#This Row],[Stock]]&lt;10,"📞 "&amp;Table10[[#This Row],[Product Name]]&amp;" Needs to re-order! PH"&amp;VLOOKUP(Table10[[#This Row],[HSN No]],Vendors!F22:L36,7,0),""),"")</f>
        <v/>
      </c>
      <c r="N23" s="3"/>
    </row>
    <row r="24" spans="1:14" x14ac:dyDescent="0.35">
      <c r="A24" s="3"/>
      <c r="B24" s="3"/>
      <c r="C24" s="3"/>
      <c r="D24" s="3"/>
      <c r="E24" s="3"/>
      <c r="F24">
        <f>IFERROR((Products!F25),"")</f>
        <v>0</v>
      </c>
      <c r="G24">
        <f>IFERROR((Products!G25),"")</f>
        <v>0</v>
      </c>
      <c r="H24">
        <f>IFERROR((Products!H25),"")</f>
        <v>0</v>
      </c>
      <c r="I24">
        <f>SUMIF(Products!G25:G36,Inventory!G24:G35,Table8[Units])</f>
        <v>0</v>
      </c>
      <c r="J24">
        <f>SUMIF(Table9[Product Name],Table10[[#This Row],[Product Name]],Table9[Units])</f>
        <v>0</v>
      </c>
      <c r="K24">
        <f>Table10[[#This Row],[P Units]]-Table10[[#This Row],[S Units]]</f>
        <v>0</v>
      </c>
      <c r="L24">
        <f>Table10[[#This Row],[Cost]]*Table10[[#This Row],[Stock]]</f>
        <v>0</v>
      </c>
      <c r="M24" s="3" t="str">
        <f>IFERROR(IF(Table10[[#This Row],[Stock]]&lt;10,"📞 "&amp;Table10[[#This Row],[Product Name]]&amp;" Needs to re-order! PH"&amp;VLOOKUP(Table10[[#This Row],[HSN No]],Vendors!F23:L37,7,0),""),"")</f>
        <v/>
      </c>
      <c r="N24" s="3"/>
    </row>
    <row r="25" spans="1:14" x14ac:dyDescent="0.35">
      <c r="A25" s="3"/>
      <c r="B25" s="3"/>
      <c r="C25" s="3"/>
      <c r="D25" s="3"/>
      <c r="E25" s="3"/>
      <c r="F25">
        <f>IFERROR((Products!F26),"")</f>
        <v>0</v>
      </c>
      <c r="G25">
        <f>IFERROR((Products!G26),"")</f>
        <v>0</v>
      </c>
      <c r="H25">
        <f>IFERROR((Products!H26),"")</f>
        <v>0</v>
      </c>
      <c r="I25">
        <f>SUMIF(Products!G26:G37,Inventory!G25:G36,Table8[Units])</f>
        <v>0</v>
      </c>
      <c r="J25">
        <f>SUMIF(Table9[Product Name],Table10[[#This Row],[Product Name]],Table9[Units])</f>
        <v>0</v>
      </c>
      <c r="K25">
        <f>Table10[[#This Row],[P Units]]-Table10[[#This Row],[S Units]]</f>
        <v>0</v>
      </c>
      <c r="L25">
        <f>Table10[[#This Row],[Cost]]*Table10[[#This Row],[Stock]]</f>
        <v>0</v>
      </c>
      <c r="M25" s="3" t="str">
        <f>IFERROR(IF(Table10[[#This Row],[Stock]]&lt;10,"📞 "&amp;Table10[[#This Row],[Product Name]]&amp;" Needs to re-order! PH"&amp;VLOOKUP(Table10[[#This Row],[HSN No]],Vendors!F24:L38,7,0),""),"")</f>
        <v/>
      </c>
      <c r="N25" s="3"/>
    </row>
    <row r="26" spans="1:14" x14ac:dyDescent="0.35">
      <c r="A26" s="3"/>
      <c r="B26" s="3"/>
      <c r="C26" s="3"/>
      <c r="D26" s="3"/>
      <c r="E26" s="3"/>
      <c r="F26">
        <f>IFERROR((Products!F27),"")</f>
        <v>0</v>
      </c>
      <c r="G26">
        <f>IFERROR((Products!G27),"")</f>
        <v>0</v>
      </c>
      <c r="H26">
        <f>IFERROR((Products!H27),"")</f>
        <v>0</v>
      </c>
      <c r="I26">
        <f>SUMIF(Products!G27:G38,Inventory!G26:G37,Table8[Units])</f>
        <v>0</v>
      </c>
      <c r="J26">
        <f>SUMIF(Table9[Product Name],Table10[[#This Row],[Product Name]],Table9[Units])</f>
        <v>0</v>
      </c>
      <c r="K26">
        <f>Table10[[#This Row],[P Units]]-Table10[[#This Row],[S Units]]</f>
        <v>0</v>
      </c>
      <c r="L26">
        <f>Table10[[#This Row],[Cost]]*Table10[[#This Row],[Stock]]</f>
        <v>0</v>
      </c>
      <c r="M26" s="3" t="str">
        <f>IFERROR(IF(Table10[[#This Row],[Stock]]&lt;10,"📞 "&amp;Table10[[#This Row],[Product Name]]&amp;" Needs to re-order! PH"&amp;VLOOKUP(Table10[[#This Row],[HSN No]],Vendors!F25:L39,7,0),""),"")</f>
        <v/>
      </c>
      <c r="N26" s="3"/>
    </row>
    <row r="27" spans="1:14" x14ac:dyDescent="0.35">
      <c r="A27" s="3"/>
      <c r="B27" s="3"/>
      <c r="C27" s="3"/>
      <c r="D27" s="3"/>
      <c r="E27" s="3"/>
      <c r="F27">
        <f>IFERROR((Products!F28),"")</f>
        <v>0</v>
      </c>
      <c r="G27">
        <f>IFERROR((Products!G28),"")</f>
        <v>0</v>
      </c>
      <c r="H27">
        <f>IFERROR((Products!H28),"")</f>
        <v>0</v>
      </c>
      <c r="I27">
        <f>SUMIF(Products!G28:G39,Inventory!G27:G38,Table8[Units])</f>
        <v>0</v>
      </c>
      <c r="J27">
        <f>SUMIF(Table9[Product Name],Table10[[#This Row],[Product Name]],Table9[Units])</f>
        <v>0</v>
      </c>
      <c r="K27">
        <f>Table10[[#This Row],[P Units]]-Table10[[#This Row],[S Units]]</f>
        <v>0</v>
      </c>
      <c r="L27">
        <f>Table10[[#This Row],[Cost]]*Table10[[#This Row],[Stock]]</f>
        <v>0</v>
      </c>
      <c r="M27" s="3" t="str">
        <f>IFERROR(IF(Table10[[#This Row],[Stock]]&lt;10,"📞 "&amp;Table10[[#This Row],[Product Name]]&amp;" Needs to re-order! PH"&amp;VLOOKUP(Table10[[#This Row],[HSN No]],Vendors!F26:L40,7,0),""),"")</f>
        <v/>
      </c>
      <c r="N27" s="3"/>
    </row>
    <row r="28" spans="1:14" x14ac:dyDescent="0.35">
      <c r="A28" s="3"/>
      <c r="B28" s="3"/>
      <c r="C28" s="3"/>
      <c r="D28" s="3"/>
      <c r="E28" s="3"/>
      <c r="F28">
        <f>IFERROR((Products!F29),"")</f>
        <v>0</v>
      </c>
      <c r="G28">
        <f>IFERROR((Products!G29),"")</f>
        <v>0</v>
      </c>
      <c r="H28">
        <f>IFERROR((Products!H29),"")</f>
        <v>0</v>
      </c>
      <c r="I28">
        <f>SUMIF(Products!G29:G40,Inventory!G28:G39,Table8[Units])</f>
        <v>0</v>
      </c>
      <c r="J28">
        <f>SUMIF(Table9[Product Name],Table10[[#This Row],[Product Name]],Table9[Units])</f>
        <v>0</v>
      </c>
      <c r="K28">
        <f>Table10[[#This Row],[P Units]]-Table10[[#This Row],[S Units]]</f>
        <v>0</v>
      </c>
      <c r="L28">
        <f>Table10[[#This Row],[Cost]]*Table10[[#This Row],[Stock]]</f>
        <v>0</v>
      </c>
      <c r="M28" s="3" t="str">
        <f>IFERROR(IF(Table10[[#This Row],[Stock]]&lt;10,"📞 "&amp;Table10[[#This Row],[Product Name]]&amp;" Needs to re-order! PH"&amp;VLOOKUP(Table10[[#This Row],[HSN No]],Vendors!F27:L41,7,0),""),"")</f>
        <v/>
      </c>
      <c r="N28" s="3"/>
    </row>
    <row r="29" spans="1:14" x14ac:dyDescent="0.35">
      <c r="A29" s="3"/>
      <c r="B29" s="3"/>
      <c r="C29" s="3"/>
      <c r="D29" s="3"/>
      <c r="E29" s="3"/>
      <c r="F29">
        <f>IFERROR((Products!F30),"")</f>
        <v>0</v>
      </c>
      <c r="G29">
        <f>IFERROR((Products!G30),"")</f>
        <v>0</v>
      </c>
      <c r="H29">
        <f>IFERROR((Products!H30),"")</f>
        <v>0</v>
      </c>
      <c r="I29">
        <f>SUMIF(Products!G30:G41,Inventory!G29:G40,Table8[Units])</f>
        <v>0</v>
      </c>
      <c r="J29">
        <f>SUMIF(Table9[Product Name],Table10[[#This Row],[Product Name]],Table9[Units])</f>
        <v>0</v>
      </c>
      <c r="K29">
        <f>Table10[[#This Row],[P Units]]-Table10[[#This Row],[S Units]]</f>
        <v>0</v>
      </c>
      <c r="L29">
        <f>Table10[[#This Row],[Cost]]*Table10[[#This Row],[Stock]]</f>
        <v>0</v>
      </c>
      <c r="M29" s="3" t="str">
        <f>IFERROR(IF(Table10[[#This Row],[Stock]]&lt;10,"📞 "&amp;Table10[[#This Row],[Product Name]]&amp;" Needs to re-order! PH"&amp;VLOOKUP(Table10[[#This Row],[HSN No]],Vendors!F28:L42,7,0),""),"")</f>
        <v/>
      </c>
      <c r="N29" s="3"/>
    </row>
    <row r="30" spans="1:14" x14ac:dyDescent="0.35">
      <c r="A30" s="3"/>
      <c r="B30" s="3"/>
      <c r="C30" s="3"/>
      <c r="D30" s="3"/>
      <c r="E30" s="3"/>
      <c r="F30">
        <f>IFERROR((Products!F31),"")</f>
        <v>0</v>
      </c>
      <c r="G30">
        <f>IFERROR((Products!G31),"")</f>
        <v>0</v>
      </c>
      <c r="H30">
        <f>IFERROR((Products!H31),"")</f>
        <v>0</v>
      </c>
      <c r="I30">
        <f>SUMIF(Products!G31:G42,Inventory!G30:G41,Table8[Units])</f>
        <v>0</v>
      </c>
      <c r="J30">
        <f>SUMIF(Table9[Product Name],Table10[[#This Row],[Product Name]],Table9[Units])</f>
        <v>0</v>
      </c>
      <c r="K30">
        <f>Table10[[#This Row],[P Units]]-Table10[[#This Row],[S Units]]</f>
        <v>0</v>
      </c>
      <c r="L30">
        <f>Table10[[#This Row],[Cost]]*Table10[[#This Row],[Stock]]</f>
        <v>0</v>
      </c>
      <c r="M30" s="3" t="str">
        <f>IFERROR(IF(Table10[[#This Row],[Stock]]&lt;10,"📞 "&amp;Table10[[#This Row],[Product Name]]&amp;" Needs to re-order! PH"&amp;VLOOKUP(Table10[[#This Row],[HSN No]],Vendors!F29:L43,7,0),""),"")</f>
        <v/>
      </c>
      <c r="N30" s="3"/>
    </row>
    <row r="31" spans="1:14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showGridLines="0" showRowColHeaders="0" zoomScaleNormal="100" workbookViewId="0">
      <selection activeCell="N32" sqref="A1:N32"/>
    </sheetView>
  </sheetViews>
  <sheetFormatPr defaultRowHeight="14.5" x14ac:dyDescent="0.35"/>
  <cols>
    <col min="1" max="1" width="4.90625" style="6" customWidth="1"/>
    <col min="2" max="16384" width="8.7265625" style="6"/>
  </cols>
  <sheetData>
    <row r="1" spans="1:14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showGridLines="0" showRowColHeaders="0" tabSelected="1" zoomScale="70" zoomScaleNormal="70" workbookViewId="0">
      <selection activeCell="R20" sqref="R20"/>
    </sheetView>
  </sheetViews>
  <sheetFormatPr defaultRowHeight="14.5" x14ac:dyDescent="0.35"/>
  <cols>
    <col min="1" max="1" width="4.90625" style="2" customWidth="1"/>
    <col min="2" max="4" width="8.7265625" style="2"/>
    <col min="5" max="5" width="2.81640625" style="2" customWidth="1"/>
    <col min="6" max="13" width="8.7265625" style="2"/>
    <col min="14" max="14" width="12" style="2" customWidth="1"/>
    <col min="15" max="15" width="66.08984375" style="2" customWidth="1"/>
    <col min="16" max="21" width="8.7265625" style="2"/>
    <col min="22" max="22" width="4.7265625" style="2" customWidth="1"/>
    <col min="23" max="16384" width="8.7265625" style="2"/>
  </cols>
  <sheetData>
    <row r="1" spans="1:16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P14" s="3"/>
    </row>
    <row r="15" spans="1:16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P15" s="3"/>
    </row>
    <row r="16" spans="1:16" ht="18.5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8" t="str">
        <f>IFERROR(VLOOKUP(Inventory!F8,Table10[#All],8,0),"")</f>
        <v/>
      </c>
      <c r="P16" s="3"/>
    </row>
    <row r="17" spans="1:16" ht="18.5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8" t="str">
        <f>IFERROR(VLOOKUP(Inventory!F9,Table10[#All],8,0),"")</f>
        <v/>
      </c>
      <c r="P17" s="3"/>
    </row>
    <row r="18" spans="1:16" ht="18.5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8" t="str">
        <f>IFERROR(VLOOKUP(Inventory!F10,Table10[#All],8,0),"")</f>
        <v/>
      </c>
      <c r="P18" s="3"/>
    </row>
    <row r="19" spans="1:16" ht="18.5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8" t="str">
        <f>IFERROR(VLOOKUP(Inventory!F11,Table10[#All],8,0),"")</f>
        <v/>
      </c>
      <c r="P19" s="3"/>
    </row>
    <row r="20" spans="1:16" ht="18.5" x14ac:dyDescent="0.4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8" t="str">
        <f>IFERROR(VLOOKUP(Inventory!F12,Table10[#All],8,0),"")</f>
        <v/>
      </c>
      <c r="P20" s="3"/>
    </row>
    <row r="21" spans="1:16" ht="18.5" x14ac:dyDescent="0.4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8" t="str">
        <f>IFERROR(VLOOKUP(Inventory!F13,Table10[#All],8,0),"")</f>
        <v/>
      </c>
      <c r="P21" s="3"/>
    </row>
    <row r="22" spans="1:16" ht="18.5" x14ac:dyDescent="0.4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8" t="str">
        <f>IFERROR(VLOOKUP(Inventory!F14,Table10[#All],8,0),"")</f>
        <v>📞 Art Needs to re-order! PH013#######</v>
      </c>
      <c r="P22" s="3"/>
    </row>
    <row r="23" spans="1:16" ht="18.5" x14ac:dyDescent="0.4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8" t="str">
        <f>IFERROR(VLOOKUP(Inventory!F15,Table10[#All],8,0),"")</f>
        <v/>
      </c>
      <c r="P23" s="3"/>
    </row>
    <row r="24" spans="1:16" ht="18.5" x14ac:dyDescent="0.4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8" t="str">
        <f>IFERROR(VLOOKUP(Inventory!F16,Table10[#All],8,0),"")</f>
        <v/>
      </c>
      <c r="P24" s="3"/>
    </row>
    <row r="25" spans="1:16" ht="18.5" x14ac:dyDescent="0.4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8" t="str">
        <f>IFERROR(VLOOKUP(Inventory!F17,Table10[#All],8,0),"")</f>
        <v/>
      </c>
      <c r="P25" s="3"/>
    </row>
    <row r="26" spans="1:16" ht="18.5" x14ac:dyDescent="0.4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8" t="str">
        <f>IFERROR(VLOOKUP(Inventory!F18,Table10[#All],8,0),"")</f>
        <v/>
      </c>
      <c r="P26" s="3"/>
    </row>
    <row r="27" spans="1:16" ht="18.5" x14ac:dyDescent="0.4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8" t="str">
        <f>IFERROR(VLOOKUP(Inventory!F19,Table10[#All],8,0),"")</f>
        <v/>
      </c>
      <c r="P27" s="3"/>
    </row>
    <row r="28" spans="1:16" ht="18.5" x14ac:dyDescent="0.4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8" t="str">
        <f>IFERROR(VLOOKUP(Inventory!F20,Table10[#All],8,0),"")</f>
        <v/>
      </c>
      <c r="P28" s="3"/>
    </row>
    <row r="29" spans="1:16" ht="18.5" x14ac:dyDescent="0.4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7" t="str">
        <f>IFERROR(VLOOKUP(Inventory!F21,Table10[#All],8,0),"")</f>
        <v/>
      </c>
      <c r="P29" s="3"/>
    </row>
    <row r="30" spans="1:16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6"/>
      <c r="P30" s="3"/>
    </row>
    <row r="31" spans="1:1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showRowColHeaders="0" zoomScale="55" zoomScaleNormal="55" workbookViewId="0">
      <selection activeCell="W23" sqref="W23"/>
    </sheetView>
  </sheetViews>
  <sheetFormatPr defaultRowHeight="14.5" x14ac:dyDescent="0.35"/>
  <cols>
    <col min="1" max="1" width="13.54296875" style="6" customWidth="1"/>
    <col min="2" max="2" width="11.6328125" style="6" bestFit="1" customWidth="1"/>
    <col min="3" max="3" width="12.7265625" style="6" bestFit="1" customWidth="1"/>
    <col min="4" max="4" width="8.7265625" style="6"/>
    <col min="5" max="5" width="12.36328125" style="6" bestFit="1" customWidth="1"/>
    <col min="6" max="6" width="14" style="6" customWidth="1"/>
    <col min="7" max="16384" width="8.7265625" style="6"/>
  </cols>
  <sheetData>
    <row r="1" spans="1:6" x14ac:dyDescent="0.35">
      <c r="A1" s="6" t="s">
        <v>107</v>
      </c>
      <c r="C1" s="14" t="s">
        <v>108</v>
      </c>
      <c r="E1" s="6" t="s">
        <v>116</v>
      </c>
      <c r="F1" s="6" t="s">
        <v>118</v>
      </c>
    </row>
    <row r="2" spans="1:6" x14ac:dyDescent="0.35">
      <c r="A2" s="15">
        <v>21</v>
      </c>
      <c r="C2" s="14">
        <f>GETPIVOTDATA("Name",$A$1)</f>
        <v>21</v>
      </c>
      <c r="E2" s="16" t="s">
        <v>71</v>
      </c>
      <c r="F2" s="15">
        <v>19</v>
      </c>
    </row>
    <row r="3" spans="1:6" x14ac:dyDescent="0.35">
      <c r="C3" s="17"/>
      <c r="E3" s="16" t="s">
        <v>73</v>
      </c>
      <c r="F3" s="15">
        <v>8</v>
      </c>
    </row>
    <row r="4" spans="1:6" x14ac:dyDescent="0.35">
      <c r="A4" s="6" t="s">
        <v>109</v>
      </c>
      <c r="C4" s="14" t="s">
        <v>110</v>
      </c>
      <c r="E4" s="16" t="s">
        <v>65</v>
      </c>
      <c r="F4" s="15">
        <v>6</v>
      </c>
    </row>
    <row r="5" spans="1:6" x14ac:dyDescent="0.35">
      <c r="A5" s="15">
        <v>12</v>
      </c>
      <c r="C5" s="14">
        <f>GETPIVOTDATA("Prsducts Name",$A$4)</f>
        <v>12</v>
      </c>
      <c r="E5" s="16" t="s">
        <v>72</v>
      </c>
      <c r="F5" s="15">
        <v>3</v>
      </c>
    </row>
    <row r="6" spans="1:6" x14ac:dyDescent="0.35">
      <c r="C6" s="17"/>
      <c r="E6" s="16" t="s">
        <v>68</v>
      </c>
      <c r="F6" s="15">
        <v>10</v>
      </c>
    </row>
    <row r="7" spans="1:6" x14ac:dyDescent="0.35">
      <c r="A7" s="6" t="s">
        <v>111</v>
      </c>
      <c r="C7" s="18" t="s">
        <v>112</v>
      </c>
      <c r="E7" s="16" t="s">
        <v>117</v>
      </c>
      <c r="F7" s="15">
        <v>46</v>
      </c>
    </row>
    <row r="8" spans="1:6" x14ac:dyDescent="0.35">
      <c r="A8" s="15">
        <v>64204.721499999992</v>
      </c>
      <c r="C8" s="19">
        <f>GETPIVOTDATA("Amount",$A$7)</f>
        <v>64204.721499999992</v>
      </c>
    </row>
    <row r="9" spans="1:6" x14ac:dyDescent="0.35">
      <c r="C9" s="20"/>
    </row>
    <row r="10" spans="1:6" x14ac:dyDescent="0.35">
      <c r="C10" s="20"/>
      <c r="E10" s="6" t="s">
        <v>116</v>
      </c>
      <c r="F10" s="6" t="s">
        <v>111</v>
      </c>
    </row>
    <row r="11" spans="1:6" x14ac:dyDescent="0.35">
      <c r="A11" s="6" t="s">
        <v>111</v>
      </c>
      <c r="C11" s="18" t="s">
        <v>113</v>
      </c>
      <c r="E11" s="16" t="s">
        <v>2</v>
      </c>
      <c r="F11" s="15">
        <v>3830.31</v>
      </c>
    </row>
    <row r="12" spans="1:6" x14ac:dyDescent="0.35">
      <c r="A12" s="15">
        <v>16168.966999999999</v>
      </c>
      <c r="C12" s="19">
        <f>GETPIVOTDATA("Amount",$A$11)</f>
        <v>16168.966999999999</v>
      </c>
      <c r="E12" s="16" t="s">
        <v>1</v>
      </c>
      <c r="F12" s="15">
        <v>138.68</v>
      </c>
    </row>
    <row r="13" spans="1:6" x14ac:dyDescent="0.35">
      <c r="C13" s="20"/>
      <c r="E13" s="16" t="s">
        <v>6</v>
      </c>
      <c r="F13" s="15">
        <v>3733.056</v>
      </c>
    </row>
    <row r="14" spans="1:6" x14ac:dyDescent="0.35">
      <c r="A14" s="6" t="s">
        <v>114</v>
      </c>
      <c r="C14" s="18" t="s">
        <v>105</v>
      </c>
      <c r="E14" s="16" t="s">
        <v>10</v>
      </c>
      <c r="F14" s="15">
        <v>2721.4560000000001</v>
      </c>
    </row>
    <row r="15" spans="1:6" x14ac:dyDescent="0.35">
      <c r="A15" s="15">
        <v>115753.3955</v>
      </c>
      <c r="C15" s="19">
        <f>GETPIVOTDATA("Stock Amt",$A$14)</f>
        <v>115753.3955</v>
      </c>
      <c r="E15" s="16" t="s">
        <v>5</v>
      </c>
      <c r="F15" s="15">
        <v>5745.4650000000001</v>
      </c>
    </row>
    <row r="16" spans="1:6" x14ac:dyDescent="0.35">
      <c r="C16" s="20"/>
      <c r="E16" s="16" t="s">
        <v>117</v>
      </c>
      <c r="F16" s="15">
        <v>16168.967000000001</v>
      </c>
    </row>
    <row r="17" spans="1:5" x14ac:dyDescent="0.35">
      <c r="C17" s="18" t="s">
        <v>115</v>
      </c>
    </row>
    <row r="18" spans="1:5" x14ac:dyDescent="0.35">
      <c r="C18" s="21">
        <f>C15+C12-C8</f>
        <v>67717.641000000003</v>
      </c>
    </row>
    <row r="23" spans="1:5" x14ac:dyDescent="0.35">
      <c r="C23" s="22"/>
    </row>
    <row r="24" spans="1:5" x14ac:dyDescent="0.35">
      <c r="A24" s="6" t="s">
        <v>116</v>
      </c>
      <c r="B24" s="6" t="s">
        <v>133</v>
      </c>
    </row>
    <row r="25" spans="1:5" x14ac:dyDescent="0.35">
      <c r="A25" s="16" t="s">
        <v>74</v>
      </c>
      <c r="B25" s="15">
        <v>23</v>
      </c>
    </row>
    <row r="26" spans="1:5" x14ac:dyDescent="0.35">
      <c r="A26" s="16" t="s">
        <v>71</v>
      </c>
      <c r="B26" s="15">
        <v>4</v>
      </c>
    </row>
    <row r="27" spans="1:5" x14ac:dyDescent="0.35">
      <c r="A27" s="16" t="s">
        <v>73</v>
      </c>
      <c r="B27" s="15">
        <v>83</v>
      </c>
    </row>
    <row r="28" spans="1:5" x14ac:dyDescent="0.35">
      <c r="A28" s="16" t="s">
        <v>60</v>
      </c>
      <c r="B28" s="15">
        <v>23</v>
      </c>
      <c r="E28" s="16"/>
    </row>
    <row r="29" spans="1:5" x14ac:dyDescent="0.35">
      <c r="A29" s="16" t="s">
        <v>61</v>
      </c>
      <c r="B29" s="15">
        <v>23</v>
      </c>
      <c r="E29" s="16"/>
    </row>
    <row r="30" spans="1:5" x14ac:dyDescent="0.35">
      <c r="A30" s="16" t="s">
        <v>70</v>
      </c>
      <c r="B30" s="15">
        <v>23</v>
      </c>
      <c r="E30" s="16"/>
    </row>
    <row r="31" spans="1:5" x14ac:dyDescent="0.35">
      <c r="A31" s="16" t="s">
        <v>65</v>
      </c>
      <c r="B31" s="15">
        <v>17</v>
      </c>
      <c r="E31" s="16"/>
    </row>
    <row r="32" spans="1:5" x14ac:dyDescent="0.35">
      <c r="A32" s="16" t="s">
        <v>75</v>
      </c>
      <c r="B32" s="15">
        <v>23</v>
      </c>
      <c r="E32" s="16"/>
    </row>
    <row r="33" spans="1:2" x14ac:dyDescent="0.35">
      <c r="A33" s="16" t="s">
        <v>72</v>
      </c>
      <c r="B33" s="15">
        <v>20</v>
      </c>
    </row>
    <row r="34" spans="1:2" x14ac:dyDescent="0.35">
      <c r="A34" s="16" t="s">
        <v>69</v>
      </c>
      <c r="B34" s="15">
        <v>23</v>
      </c>
    </row>
    <row r="35" spans="1:2" x14ac:dyDescent="0.35">
      <c r="A35" s="16" t="s">
        <v>68</v>
      </c>
      <c r="B35" s="15">
        <v>13</v>
      </c>
    </row>
    <row r="36" spans="1:2" x14ac:dyDescent="0.35">
      <c r="A36" s="16" t="s">
        <v>117</v>
      </c>
      <c r="B36" s="15">
        <v>275</v>
      </c>
    </row>
  </sheetData>
  <pageMargins left="0.7" right="0.7" top="0.75" bottom="0.75" header="0.3" footer="0.3"/>
  <pageSetup orientation="portrait" r:id="rId9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7C3407-D003-410F-BBB6-31309DEB9B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Customers</vt:lpstr>
      <vt:lpstr>Products</vt:lpstr>
      <vt:lpstr>Vendors</vt:lpstr>
      <vt:lpstr>Purchase</vt:lpstr>
      <vt:lpstr>Sales</vt:lpstr>
      <vt:lpstr>Inventory</vt:lpstr>
      <vt:lpstr>New Entry</vt:lpstr>
      <vt:lpstr>Dashboard</vt:lpstr>
      <vt:lpstr>Pivots</vt:lpstr>
      <vt:lpstr>cid</vt:lpstr>
      <vt:lpstr>HSN_No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modified xsi:type="dcterms:W3CDTF">2026-06-03T14:34:26Z</dcterms:modified>
</cp:coreProperties>
</file>